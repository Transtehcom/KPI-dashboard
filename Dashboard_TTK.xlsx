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9c9e1a6e044e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набжение" sheetId="1" r:id="Re6150e349d5b46b0"/>
    <x:sheet xmlns:r="http://schemas.openxmlformats.org/officeDocument/2006/relationships" name="Логистика" sheetId="2" r:id="R40e06fc3012040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"/>
  </x:numFmts>
  <x:fonts count="10">
    <x:font>
      <x:sz val="11"/>
      <x:name val="Carlito"/>
    </x:font>
    <x:font>
      <x:sz val="11"/>
      <x:color rgb="FF182D45"/>
      <x:name val="Arial"/>
    </x:font>
    <x:font>
      <x:b/>
      <x:sz val="19"/>
      <x:color rgb="FF203C5C"/>
      <x:name val="Arial"/>
    </x:font>
    <x:font>
      <x:sz val="11"/>
      <x:color rgb="FF65768A"/>
      <x:name val="Arial"/>
    </x:font>
    <x:font>
      <x:sz val="10"/>
      <x:color rgb="FF65768A"/>
      <x:name val="Arial"/>
    </x:font>
    <x:font>
      <x:b/>
      <x:sz val="11"/>
      <x:color rgb="FF182D45"/>
      <x:name val="Arial"/>
    </x:font>
    <x:font>
      <x:b/>
      <x:sz val="18"/>
      <x:color rgb="FF203C5C"/>
      <x:name val="Arial"/>
    </x:font>
    <x:font>
      <x:b/>
      <x:sz val="18"/>
      <x:color rgb="FFB8323C"/>
      <x:name val="Arial"/>
    </x:font>
    <x:font>
      <x:b/>
      <x:sz val="11"/>
      <x:color rgb="FFFFFFFF"/>
      <x:name val="Arial"/>
    </x:font>
    <x:font>
      <x:b/>
      <x:sz val="18"/>
      <x:color rgb="FF182D4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EEF2F6"/>
      </x:patternFill>
    </x:fill>
    <x:fill>
      <x:patternFill patternType="solid">
        <x:fgColor rgb="FF203C5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2" fontId="1" fillId="2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2">
    <x:dxf>
      <x:font>
        <x:b/>
        <x:color rgb="FFB8323C"/>
      </x:font>
      <x:fill>
        <x:patternFill patternType="solid">
          <x:bgColor rgb="FFFDEDEE"/>
        </x:patternFill>
      </x:fill>
    </x:dxf>
    <x:dxf>
      <x:font>
        <x:b/>
        <x:color rgb="FFB8323C"/>
      </x:font>
      <x:fill>
        <x:patternFill patternType="solid">
          <x:bgColor rgb="FFFDEDEE"/>
        </x:patternFill>
      </x:fill>
    </x:dxf>
    <x:dxf>
      <x:font>
        <x:b/>
        <x:color rgb="FFB8323C"/>
      </x:font>
      <x:fill>
        <x:patternFill patternType="solid">
          <x:bgColor rgb="FFFDEDEE"/>
        </x:patternFill>
      </x:fill>
    </x:dxf>
    <x:dxf>
      <x:font>
        <x:b/>
        <x:color rgb="FFB8323C"/>
      </x:font>
      <x:fill>
        <x:patternFill patternType="solid">
          <x:bgColor rgb="FFFDEDEE"/>
        </x:patternFill>
      </x:fill>
    </x:dxf>
    <x:dxf>
      <x:font>
        <x:b/>
        <x:color rgb="FFB8323C"/>
      </x:font>
      <x:fill>
        <x:patternFill patternType="solid">
          <x:bgColor rgb="FFFDEDEE"/>
        </x:patternFill>
      </x:fill>
    </x:dxf>
    <x:dxf>
      <x:font>
        <x:b/>
        <x:color rgb="FFB8323C"/>
      </x:font>
      <x:fill>
        <x:patternFill patternType="solid">
          <x:bgColor rgb="FFFDEDEE"/>
        </x:patternFill>
      </x:fill>
    </x:dxf>
    <x:dxf>
      <x:font>
        <x:b/>
        <x:color rgb="FFB8323C"/>
      </x:font>
      <x:fill>
        <x:patternFill patternType="solid">
          <x:bgColor rgb="FFFDEDEE"/>
        </x:patternFill>
      </x:fill>
    </x:dxf>
    <x:dxf>
      <x:font>
        <x:b/>
        <x:color rgb="FFB8323C"/>
      </x:font>
      <x:fill>
        <x:patternFill patternType="solid">
          <x:bgColor rgb="FFFDEDEE"/>
        </x:patternFill>
      </x:fill>
    </x:dxf>
    <x:dxf>
      <x:font>
        <x:b/>
        <x:color rgb="FFB8323C"/>
      </x:font>
      <x:fill>
        <x:patternFill patternType="solid">
          <x:bgColor rgb="FFFDEDEE"/>
        </x:patternFill>
      </x:fill>
    </x:dxf>
    <x:dxf>
      <x:font>
        <x:b/>
        <x:color rgb="FFB8323C"/>
      </x:font>
      <x:fill>
        <x:patternFill patternType="solid">
          <x:bgColor rgb="FFFDEDEE"/>
        </x:patternFill>
      </x:fill>
    </x:dxf>
    <x:dxf>
      <x:font>
        <x:b/>
        <x:color rgb="FFB8323C"/>
      </x:font>
      <x:fill>
        <x:patternFill patternType="solid">
          <x:bgColor rgb="FFFDEDEE"/>
        </x:patternFill>
      </x:fill>
    </x:dxf>
    <x:dxf>
      <x:font>
        <x:b/>
        <x:color rgb="FFB8323C"/>
      </x:font>
      <x:fill>
        <x:patternFill patternType="solid">
          <x:bgColor rgb="FFFDED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3c267283cd412a" /><Relationship Type="http://schemas.openxmlformats.org/officeDocument/2006/relationships/theme" Target="/xl/theme/theme1.xml" Id="Rc79c1e8e4e154f22" /><Relationship Type="http://schemas.openxmlformats.org/officeDocument/2006/relationships/sharedStrings" Target="/xl/sharedStrings.xml" Id="R0851e5591f5a4321" /><Relationship Type="http://schemas.openxmlformats.org/officeDocument/2006/relationships/worksheet" Target="/xl/worksheets/sheet1.xml" Id="Re6150e349d5b46b0" /><Relationship Type="http://schemas.openxmlformats.org/officeDocument/2006/relationships/worksheet" Target="/xl/worksheets/sheet2.xml" Id="R40e06fc301204028" /></Relationships>
</file>

<file path=xl/tables/table1.xml><?xml version="1.0" encoding="utf-8"?>
<x:table xmlns:x="http://schemas.openxmlformats.org/spreadsheetml/2006/main" id="1" name="SupplyOrders" displayName="SupplyOrders" ref="B29:H32" headerRowCount="1" totalsRowCount="0" totalsRowShown="0">
  <x:tableColumns count="7">
    <x:tableColumn id="1" name="Заказ"/>
    <x:tableColumn id="2" name="Поставщик"/>
    <x:tableColumn id="3" name="Сотрудник"/>
    <x:tableColumn id="4" name="Закупка, ₽"/>
    <x:tableColumn id="5" name="План&#10;отгрузки"/>
    <x:tableColumn id="6" name="Факт&#10;отгрузки"/>
    <x:tableColumn id="7" name="Просрочка, дн.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ogisticsOrders" displayName="LogisticsOrders" ref="B29:I32" headerRowCount="1" totalsRowCount="0" totalsRowShown="0">
  <x:tableColumns count="8">
    <x:tableColumn id="1" name="Перевозка"/>
    <x:tableColumn id="2" name="Маршрут"/>
    <x:tableColumn id="3" name="Сотрудник"/>
    <x:tableColumn id="4" name="План, ₽"/>
    <x:tableColumn id="5" name="Факт, ₽"/>
    <x:tableColumn id="6" name="Доставка план"/>
    <x:tableColumn id="7" name="Доставка факт"/>
    <x:tableColumn id="8" name="Просрочка, дн.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680fa976a34dc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c95616dce72460c" /></Relationships>
</file>

<file path=xl/worksheets/sheet1.xml><?xml version="1.0" encoding="utf-8"?>
<x:worksheet xmlns:x="http://schemas.openxmlformats.org/spreadsheetml/2006/main">
  <x:sheetPr>
    <x:tabColor rgb="FF203C5C"/>
  </x:sheetPr>
  <x:sheetViews>
    <x:sheetView showGridLines="0" workbookViewId="0"/>
  </x:sheetViews>
  <x:sheetFormatPr defaultRowHeight="15"/>
  <x:cols>
    <x:col min="2" max="2" width="1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" max="1" width="3" hidden="0" customWidth="1"/>
  </x:cols>
  <x:sheetData>
    <x:row r="1" ht="24" customHeight="1">
      <x:c r="A1" s="1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1"/>
    </x:row>
    <x:row r="2" ht="34" customHeight="1">
      <x:c r="A2" s="1"/>
      <x:c r="B2" s="3" t="str">
        <x:v>ТРАНСТЕХКОМ   Снабжение</x:v>
      </x:c>
      <x:c r="C2" s="3" t="str">
        <x:v>ТРАНСТЕХКОМ   Снабжение</x:v>
      </x:c>
      <x:c r="D2" s="3" t="str">
        <x:v>ТРАНСТЕХКОМ   Снабжение</x:v>
      </x:c>
      <x:c r="E2" s="3" t="str">
        <x:v>ТРАНСТЕХКОМ   Снабжение</x:v>
      </x:c>
      <x:c r="F2" s="3" t="str">
        <x:v>ТРАНСТЕХКОМ   Снабжение</x:v>
      </x:c>
      <x:c r="G2" s="3" t="str">
        <x:v>ТРАНСТЕХКОМ   Снабжение</x:v>
      </x:c>
      <x:c r="H2" s="3" t="str">
        <x:v>ТРАНСТЕХКОМ   Снабжение</x:v>
      </x:c>
      <x:c r="I2" s="3" t="str">
        <x:v>ТРАНСТЕХКОМ   Снабжение</x:v>
      </x:c>
      <x:c r="J2" s="3" t="str">
        <x:v>ТРАНСТЕХКОМ   Снабжение</x:v>
      </x:c>
      <x:c r="K2" s="3" t="str">
        <x:v>ТРАНСТЕХКОМ   Снабжение</x:v>
      </x:c>
      <x:c r="L2" s="3" t="str">
        <x:v>ТРАНСТЕХКОМ   Снабжение</x:v>
      </x:c>
      <x:c r="M2" s="3" t="str">
        <x:v>ТРАНСТЕХКОМ   Снабжение</x:v>
      </x:c>
      <x:c r="N2" s="1"/>
    </x:row>
    <x:row r="3" ht="24" customHeight="1">
      <x:c r="A3" s="1"/>
      <x:c r="B3" s="4" t="str">
        <x:v>Демонстрационный макет. Подключение к Битрикс24 и 1С не настроено.</x:v>
      </x:c>
      <x:c r="C3" s="4" t="str">
        <x:v>Демонстрационный макет. Подключение к Битрикс24 и 1С не настроено.</x:v>
      </x:c>
      <x:c r="D3" s="4" t="str">
        <x:v>Демонстрационный макет. Подключение к Битрикс24 и 1С не настроено.</x:v>
      </x:c>
      <x:c r="E3" s="4" t="str">
        <x:v>Демонстрационный макет. Подключение к Битрикс24 и 1С не настроено.</x:v>
      </x:c>
      <x:c r="F3" s="4" t="str">
        <x:v>Демонстрационный макет. Подключение к Битрикс24 и 1С не настроено.</x:v>
      </x:c>
      <x:c r="G3" s="4" t="str">
        <x:v>Демонстрационный макет. Подключение к Битрикс24 и 1С не настроено.</x:v>
      </x:c>
      <x:c r="H3" s="4" t="str">
        <x:v>Демонстрационный макет. Подключение к Битрикс24 и 1С не настроено.</x:v>
      </x:c>
      <x:c r="I3" s="4" t="str">
        <x:v>Демонстрационный макет. Подключение к Битрикс24 и 1С не настроено.</x:v>
      </x:c>
      <x:c r="J3" s="4" t="str">
        <x:v>Демонстрационный макет. Подключение к Битрикс24 и 1С не настроено.</x:v>
      </x:c>
      <x:c r="K3" s="4" t="str">
        <x:v>Демонстрационный макет. Подключение к Битрикс24 и 1С не настроено.</x:v>
      </x:c>
      <x:c r="L3" s="4" t="str">
        <x:v>Демонстрационный макет. Подключение к Битрикс24 и 1С не настроено.</x:v>
      </x:c>
      <x:c r="M3" s="4" t="str">
        <x:v>Демонстрационный макет. Подключение к Битрикс24 и 1С не настроено.</x:v>
      </x:c>
      <x:c r="N3" s="1"/>
    </x:row>
    <x:row r="4" ht="24" customHeight="1">
      <x:c r="A4" s="1"/>
      <x:c r="B4" s="2" t="str">
        <x:v>Период движения: 01–21.10.2026. Очередь на дату среза.</x:v>
      </x:c>
      <x:c r="C4" s="2" t="str">
        <x:v>Период движения: 01–21.10.2026. Очередь на дату среза.</x:v>
      </x:c>
      <x:c r="D4" s="2" t="str">
        <x:v>Период движения: 01–21.10.2026. Очередь на дату среза.</x:v>
      </x:c>
      <x:c r="E4" s="2" t="str">
        <x:v>Период движения: 01–21.10.2026. Очередь на дату среза.</x:v>
      </x:c>
      <x:c r="F4" s="2" t="str">
        <x:v>Период движения: 01–21.10.2026. Очередь на дату среза.</x:v>
      </x:c>
      <x:c r="G4" s="2" t="str">
        <x:v>Период движения: 01–21.10.2026. Очередь на дату среза.</x:v>
      </x:c>
      <x:c r="H4" s="2" t="str">
        <x:v>Период движения: 01–21.10.2026. Очередь на дату среза.</x:v>
      </x:c>
      <x:c r="I4" s="2" t="str">
        <x:v>Дата среза</x:v>
      </x:c>
      <x:c r="J4" s="2" t="str">
        <x:v>Дата среза</x:v>
      </x:c>
      <x:c r="K4" s="2" t="str">
        <x:v>Дата среза</x:v>
      </x:c>
      <x:c r="L4" s="6" t="n">
        <x:v>46316</x:v>
      </x:c>
      <x:c r="M4" s="6" t="n">
        <x:v>46316</x:v>
      </x:c>
      <x:c r="N4" s="1"/>
    </x:row>
    <x:row r="5" ht="24" customHeight="1">
      <x:c r="A5" s="1"/>
      <x:c r="B5" s="7" t="str">
        <x:v>Жёлтые ячейки — ввод. Белые и голубые — формулы. Все подписи и оформление можно менять.</x:v>
      </x:c>
      <x:c r="C5" s="7" t="str">
        <x:v>Жёлтые ячейки — ввод. Белые и голубые — формулы. Все подписи и оформление можно менять.</x:v>
      </x:c>
      <x:c r="D5" s="7" t="str">
        <x:v>Жёлтые ячейки — ввод. Белые и голубые — формулы. Все подписи и оформление можно менять.</x:v>
      </x:c>
      <x:c r="E5" s="7" t="str">
        <x:v>Жёлтые ячейки — ввод. Белые и голубые — формулы. Все подписи и оформление можно менять.</x:v>
      </x:c>
      <x:c r="F5" s="7" t="str">
        <x:v>Жёлтые ячейки — ввод. Белые и голубые — формулы. Все подписи и оформление можно менять.</x:v>
      </x:c>
      <x:c r="G5" s="7" t="str">
        <x:v>Жёлтые ячейки — ввод. Белые и голубые — формулы. Все подписи и оформление можно менять.</x:v>
      </x:c>
      <x:c r="H5" s="7" t="str">
        <x:v>Жёлтые ячейки — ввод. Белые и голубые — формулы. Все подписи и оформление можно менять.</x:v>
      </x:c>
      <x:c r="I5" s="7" t="str">
        <x:v>Жёлтые ячейки — ввод. Белые и голубые — формулы. Все подписи и оформление можно менять.</x:v>
      </x:c>
      <x:c r="J5" s="7" t="str">
        <x:v>Жёлтые ячейки — ввод. Белые и голубые — формулы. Все подписи и оформление можно менять.</x:v>
      </x:c>
      <x:c r="K5" s="7" t="str">
        <x:v>Жёлтые ячейки — ввод. Белые и голубые — формулы. Все подписи и оформление можно менять.</x:v>
      </x:c>
      <x:c r="L5" s="7" t="str">
        <x:v>Жёлтые ячейки — ввод. Белые и голубые — формулы. Все подписи и оформление можно менять.</x:v>
      </x:c>
      <x:c r="M5" s="7" t="str">
        <x:v>Жёлтые ячейки — ввод. Белые и голубые — формулы. Все подписи и оформление можно менять.</x:v>
      </x:c>
      <x:c r="N5" s="1"/>
    </x:row>
    <x:row r="6" ht="24" customHeight="1">
      <x:c r="A6" s="1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1"/>
    </x:row>
    <x:row r="7" ht="24" customHeight="1">
      <x:c r="A7" s="1"/>
      <x:c r="B7" s="9" t="str">
        <x:v>В работе сейчас</x:v>
      </x:c>
      <x:c r="C7" s="9" t="str">
        <x:v>В работе сейчас</x:v>
      </x:c>
      <x:c r="D7" s="9" t="str">
        <x:v>В работе сейчас</x:v>
      </x:c>
      <x:c r="E7" s="9" t="str">
        <x:v>Получено за период</x:v>
      </x:c>
      <x:c r="F7" s="9" t="str">
        <x:v>Получено за период</x:v>
      </x:c>
      <x:c r="G7" s="9" t="str">
        <x:v>Получено за период</x:v>
      </x:c>
      <x:c r="H7" s="9" t="str">
        <x:v>Завершено за период</x:v>
      </x:c>
      <x:c r="I7" s="9" t="str">
        <x:v>Завершено за период</x:v>
      </x:c>
      <x:c r="J7" s="9" t="str">
        <x:v>Завершено за период</x:v>
      </x:c>
      <x:c r="K7" s="9" t="str">
        <x:v>Просрочено</x:v>
      </x:c>
      <x:c r="L7" s="9" t="str">
        <x:v>Просрочено</x:v>
      </x:c>
      <x:c r="M7" s="9" t="str">
        <x:v>Просрочено</x:v>
      </x:c>
      <x:c r="N7" s="1"/>
    </x:row>
    <x:row r="8" ht="24" customHeight="1">
      <x:c r="A8" s="1"/>
      <x:c r="B8" s="11" t="n">
        <x:f>SUM(C23:G24)</x:f>
        <x:v>42</x:v>
      </x:c>
      <x:c r="C8" s="11" t="str"/>
      <x:c r="D8" s="11" t="str"/>
      <x:c r="E8" s="11" t="n">
        <x:f>SUM(D39:D40)</x:f>
        <x:v>30</x:v>
      </x:c>
      <x:c r="F8" s="11" t="str"/>
      <x:c r="G8" s="11" t="str"/>
      <x:c r="H8" s="11" t="str">
        <x:f>SUM(E39:E40)&amp;" расч. / "&amp;SUM(F39:F40)&amp;" зак."</x:f>
        <x:v>16 расч. / 6 зак.</x:v>
      </x:c>
      <x:c r="I8" s="11" t="str"/>
      <x:c r="J8" s="11" t="str"/>
      <x:c r="K8" s="13" t="n">
        <x:f>SUM(H23:H24)</x:f>
        <x:v>5</x:v>
      </x:c>
      <x:c r="L8" s="13" t="str"/>
      <x:c r="M8" s="13" t="str"/>
      <x:c r="N8" s="1"/>
    </x:row>
    <x:row r="9" ht="24" customHeight="1">
      <x:c r="A9" s="1"/>
      <x:c r="B9" s="11" t="str"/>
      <x:c r="C9" s="11" t="str"/>
      <x:c r="D9" s="11" t="str"/>
      <x:c r="E9" s="11" t="str"/>
      <x:c r="F9" s="11" t="str"/>
      <x:c r="G9" s="11" t="str"/>
      <x:c r="H9" s="11" t="str"/>
      <x:c r="I9" s="11" t="str"/>
      <x:c r="J9" s="11" t="str"/>
      <x:c r="K9" s="13" t="str"/>
      <x:c r="L9" s="13" t="str"/>
      <x:c r="M9" s="13" t="str"/>
      <x:c r="N9" s="1"/>
    </x:row>
    <x:row r="10" ht="24" customHeight="1">
      <x:c r="A10" s="1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1"/>
    </x:row>
    <x:row r="11" ht="24" customHeight="1">
      <x:c r="A11" s="1"/>
      <x:c r="B11" s="17" t="str">
        <x:v>ГДЕ НАХОДИТСЯ РАБОТА</x:v>
      </x:c>
      <x:c r="C11" s="17" t="str">
        <x:v>ГДЕ НАХОДИТСЯ РАБОТА</x:v>
      </x:c>
      <x:c r="D11" s="17" t="str">
        <x:v>ГДЕ НАХОДИТСЯ РАБОТА</x:v>
      </x:c>
      <x:c r="E11" s="17" t="str">
        <x:v>ГДЕ НАХОДИТСЯ РАБОТА</x:v>
      </x:c>
      <x:c r="F11" s="17" t="str">
        <x:v>ГДЕ НАХОДИТСЯ РАБОТА</x:v>
      </x:c>
      <x:c r="G11" s="17" t="str">
        <x:v>ГДЕ НАХОДИТСЯ РАБОТА</x:v>
      </x:c>
      <x:c r="H11" s="17" t="str">
        <x:v>ГДЕ НАХОДИТСЯ РАБОТА</x:v>
      </x:c>
      <x:c r="I11" s="17" t="str">
        <x:v>ГДЕ НАХОДИТСЯ РАБОТА</x:v>
      </x:c>
      <x:c r="J11" s="17" t="str">
        <x:v>ГДЕ НАХОДИТСЯ РАБОТА</x:v>
      </x:c>
      <x:c r="K11" s="17" t="str">
        <x:v>ГДЕ НАХОДИТСЯ РАБОТА</x:v>
      </x:c>
      <x:c r="L11" s="17" t="str">
        <x:v>ГДЕ НАХОДИТСЯ РАБОТА</x:v>
      </x:c>
      <x:c r="M11" s="17" t="str">
        <x:v>ГДЕ НАХОДИТСЯ РАБОТА</x:v>
      </x:c>
      <x:c r="N11" s="1"/>
    </x:row>
    <x:row r="12" ht="44" customHeight="1">
      <x:c r="A12" s="1"/>
      <x:c r="B12" s="2" t="str">
        <x:v>Этап</x:v>
      </x:c>
      <x:c r="C12" s="2" t="str">
        <x:v>Этап</x:v>
      </x:c>
      <x:c r="D12" s="18" t="str">
        <x:v>На расчёте</x:v>
      </x:c>
      <x:c r="E12" s="18" t="str">
        <x:v>На расчёте</x:v>
      </x:c>
      <x:c r="F12" s="18" t="str">
        <x:v>Расчёт передан</x:v>
      </x:c>
      <x:c r="G12" s="18" t="str">
        <x:v>Расчёт передан</x:v>
      </x:c>
      <x:c r="H12" s="18" t="str">
        <x:v>Закупка согласуется</x:v>
      </x:c>
      <x:c r="I12" s="18" t="str">
        <x:v>Закупка согласуется</x:v>
      </x:c>
      <x:c r="J12" s="18" t="str">
        <x:v>Заказ размещён</x:v>
      </x:c>
      <x:c r="K12" s="18" t="str">
        <x:v>Заказ размещён</x:v>
      </x:c>
      <x:c r="L12" s="18" t="str">
        <x:v>Ожидается отгрузка</x:v>
      </x:c>
      <x:c r="M12" s="18" t="str">
        <x:v>Ожидается отгрузка</x:v>
      </x:c>
      <x:c r="N12" s="1"/>
    </x:row>
    <x:row r="13" ht="24" customHeight="1">
      <x:c r="A13" s="1"/>
      <x:c r="B13" s="2" t="str">
        <x:v>Сейчас, заявок</x:v>
      </x:c>
      <x:c r="C13" s="2" t="str">
        <x:v>Сейчас, заявок</x:v>
      </x:c>
      <x:c r="D13" s="19" t="n">
        <x:f>SUM(C23:C24)</x:f>
        <x:v>10</x:v>
      </x:c>
      <x:c r="E13" s="19" t="str"/>
      <x:c r="F13" s="19" t="n">
        <x:f>SUM(D23:D24)</x:f>
        <x:v>8</x:v>
      </x:c>
      <x:c r="G13" s="19" t="str"/>
      <x:c r="H13" s="19" t="n">
        <x:f>SUM(E23:E24)</x:f>
        <x:v>5</x:v>
      </x:c>
      <x:c r="I13" s="19" t="str"/>
      <x:c r="J13" s="19" t="n">
        <x:f>SUM(F23:F24)</x:f>
        <x:v>13</x:v>
      </x:c>
      <x:c r="K13" s="19" t="str"/>
      <x:c r="L13" s="19" t="n">
        <x:f>SUM(G23:G24)</x:f>
        <x:v>6</x:v>
      </x:c>
      <x:c r="M13" s="19" t="str"/>
      <x:c r="N13" s="1"/>
    </x:row>
    <x:row r="14" ht="24" customHeight="1">
      <x:c r="A14" s="1"/>
      <x:c r="B14" s="2" t="str">
        <x:v>Поступило, переходов</x:v>
      </x:c>
      <x:c r="C14" s="2" t="str">
        <x:v>Поступило, переходов</x:v>
      </x:c>
      <x:c r="D14" s="5" t="n">
        <x:v>20</x:v>
      </x:c>
      <x:c r="E14" s="5" t="n">
        <x:v>20</x:v>
      </x:c>
      <x:c r="F14" s="5" t="n">
        <x:v>16</x:v>
      </x:c>
      <x:c r="G14" s="5" t="n">
        <x:v>16</x:v>
      </x:c>
      <x:c r="H14" s="5" t="n">
        <x:v>12</x:v>
      </x:c>
      <x:c r="I14" s="5" t="n">
        <x:v>12</x:v>
      </x:c>
      <x:c r="J14" s="5" t="n">
        <x:v>15</x:v>
      </x:c>
      <x:c r="K14" s="5" t="n">
        <x:v>15</x:v>
      </x:c>
      <x:c r="L14" s="5" t="n">
        <x:v>8</x:v>
      </x:c>
      <x:c r="M14" s="5" t="n">
        <x:v>8</x:v>
      </x:c>
      <x:c r="N14" s="1"/>
    </x:row>
    <x:row r="15" ht="24" customHeight="1">
      <x:c r="A15" s="1"/>
      <x:c r="B15" s="2" t="str">
        <x:v>Вышло, переходов</x:v>
      </x:c>
      <x:c r="C15" s="2" t="str">
        <x:v>Вышло, переходов</x:v>
      </x:c>
      <x:c r="D15" s="5" t="n">
        <x:v>13</x:v>
      </x:c>
      <x:c r="E15" s="5" t="n">
        <x:v>13</x:v>
      </x:c>
      <x:c r="F15" s="5" t="n">
        <x:v>13</x:v>
      </x:c>
      <x:c r="G15" s="5" t="n">
        <x:v>13</x:v>
      </x:c>
      <x:c r="H15" s="5" t="n">
        <x:v>10</x:v>
      </x:c>
      <x:c r="I15" s="5" t="n">
        <x:v>10</x:v>
      </x:c>
      <x:c r="J15" s="5" t="n">
        <x:v>12</x:v>
      </x:c>
      <x:c r="K15" s="5" t="n">
        <x:v>12</x:v>
      </x:c>
      <x:c r="L15" s="5" t="n">
        <x:v>6</x:v>
      </x:c>
      <x:c r="M15" s="5" t="n">
        <x:v>6</x:v>
      </x:c>
      <x:c r="N15" s="1"/>
    </x:row>
    <x:row r="16" ht="24" customHeight="1">
      <x:c r="A16" s="1"/>
      <x:c r="B16" s="2" t="str">
        <x:v>Макс. на этапе, дней</x:v>
      </x:c>
      <x:c r="C16" s="2" t="str">
        <x:v>Макс. на этапе, дней</x:v>
      </x:c>
      <x:c r="D16" s="5" t="n">
        <x:v>4</x:v>
      </x:c>
      <x:c r="E16" s="5" t="n">
        <x:v>4</x:v>
      </x:c>
      <x:c r="F16" s="5" t="n">
        <x:v>8</x:v>
      </x:c>
      <x:c r="G16" s="5" t="n">
        <x:v>8</x:v>
      </x:c>
      <x:c r="H16" s="5" t="n">
        <x:v>3</x:v>
      </x:c>
      <x:c r="I16" s="5" t="n">
        <x:v>3</x:v>
      </x:c>
      <x:c r="J16" s="5" t="n">
        <x:v>12</x:v>
      </x:c>
      <x:c r="K16" s="5" t="n">
        <x:v>12</x:v>
      </x:c>
      <x:c r="L16" s="5" t="n">
        <x:v>2</x:v>
      </x:c>
      <x:c r="M16" s="5" t="n">
        <x:v>2</x:v>
      </x:c>
      <x:c r="N16" s="1"/>
    </x:row>
    <x:row r="17" ht="24" customHeight="1">
      <x:c r="A17" s="1"/>
      <x:c r="B17" s="2" t="str">
        <x:v>Просрочено, заявок</x:v>
      </x:c>
      <x:c r="C17" s="2" t="str">
        <x:v>Просрочено, заявок</x:v>
      </x:c>
      <x:c r="D17" s="2" t="n">
        <x:f>SUM(C44:C45)</x:f>
        <x:v>3</x:v>
      </x:c>
      <x:c r="E17" s="2" t="str"/>
      <x:c r="F17" s="2" t="n">
        <x:f>SUM(D44:D45)</x:f>
        <x:v>0</x:v>
      </x:c>
      <x:c r="G17" s="2" t="str"/>
      <x:c r="H17" s="2" t="n">
        <x:f>SUM(E44:E45)</x:f>
        <x:v>1</x:v>
      </x:c>
      <x:c r="I17" s="2" t="str"/>
      <x:c r="J17" s="2" t="n">
        <x:f>SUM(F44:F45)</x:f>
        <x:v>0</x:v>
      </x:c>
      <x:c r="K17" s="2" t="str"/>
      <x:c r="L17" s="2" t="n">
        <x:f>SUM(G44:G45)</x:f>
        <x:v>1</x:v>
      </x:c>
      <x:c r="M17" s="2" t="str"/>
      <x:c r="N17" s="1"/>
    </x:row>
    <x:row r="18" ht="24" customHeight="1">
      <x:c r="A18" s="1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1"/>
    </x:row>
    <x:row r="19" ht="24" customHeight="1">
      <x:c r="A19" s="1"/>
      <x:c r="B19" s="7" t="str">
        <x:v>Движение и длительность этапов вводятся за указанный период; входы и выходы — события, не уникальные заявки.</x:v>
      </x:c>
      <x:c r="C19" s="7" t="str">
        <x:v>Движение и длительность этапов вводятся за указанный период; входы и выходы — события, не уникальные заявки.</x:v>
      </x:c>
      <x:c r="D19" s="7" t="str">
        <x:v>Движение и длительность этапов вводятся за указанный период; входы и выходы — события, не уникальные заявки.</x:v>
      </x:c>
      <x:c r="E19" s="7" t="str">
        <x:v>Движение и длительность этапов вводятся за указанный период; входы и выходы — события, не уникальные заявки.</x:v>
      </x:c>
      <x:c r="F19" s="7" t="str">
        <x:v>Движение и длительность этапов вводятся за указанный период; входы и выходы — события, не уникальные заявки.</x:v>
      </x:c>
      <x:c r="G19" s="7" t="str">
        <x:v>Движение и длительность этапов вводятся за указанный период; входы и выходы — события, не уникальные заявки.</x:v>
      </x:c>
      <x:c r="H19" s="7" t="str">
        <x:v>Движение и длительность этапов вводятся за указанный период; входы и выходы — события, не уникальные заявки.</x:v>
      </x:c>
      <x:c r="I19" s="7" t="str">
        <x:v>Движение и длительность этапов вводятся за указанный период; входы и выходы — события, не уникальные заявки.</x:v>
      </x:c>
      <x:c r="J19" s="7" t="str">
        <x:v>Движение и длительность этапов вводятся за указанный период; входы и выходы — события, не уникальные заявки.</x:v>
      </x:c>
      <x:c r="K19" s="7" t="str">
        <x:v>Движение и длительность этапов вводятся за указанный период; входы и выходы — события, не уникальные заявки.</x:v>
      </x:c>
      <x:c r="L19" s="7" t="str">
        <x:v>Движение и длительность этапов вводятся за указанный период; входы и выходы — события, не уникальные заявки.</x:v>
      </x:c>
      <x:c r="M19" s="7" t="str">
        <x:v>Движение и длительность этапов вводятся за указанный период; входы и выходы — события, не уникальные заявки.</x:v>
      </x:c>
      <x:c r="N19" s="1"/>
    </x:row>
    <x:row r="20" ht="24" customHeight="1">
      <x:c r="A20" s="1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1"/>
    </x:row>
    <x:row r="21" ht="24" customHeight="1">
      <x:c r="A21" s="1"/>
      <x:c r="B21" s="17" t="str">
        <x:v>ОЧЕРЕДЬ ПО СОТРУДНИКАМ</x:v>
      </x:c>
      <x:c r="C21" s="17" t="str">
        <x:v>ОЧЕРЕДЬ ПО СОТРУДНИКАМ</x:v>
      </x:c>
      <x:c r="D21" s="17" t="str">
        <x:v>ОЧЕРЕДЬ ПО СОТРУДНИКАМ</x:v>
      </x:c>
      <x:c r="E21" s="17" t="str">
        <x:v>ОЧЕРЕДЬ ПО СОТРУДНИКАМ</x:v>
      </x:c>
      <x:c r="F21" s="17" t="str">
        <x:v>ОЧЕРЕДЬ ПО СОТРУДНИКАМ</x:v>
      </x:c>
      <x:c r="G21" s="17" t="str">
        <x:v>ОЧЕРЕДЬ ПО СОТРУДНИКАМ</x:v>
      </x:c>
      <x:c r="H21" s="17" t="str">
        <x:v>ОЧЕРЕДЬ ПО СОТРУДНИКАМ</x:v>
      </x:c>
      <x:c r="I21" s="17" t="str">
        <x:v>ОЧЕРЕДЬ ПО СОТРУДНИКАМ</x:v>
      </x:c>
      <x:c r="J21" s="17" t="str">
        <x:v>ОЧЕРЕДЬ ПО СОТРУДНИКАМ</x:v>
      </x:c>
      <x:c r="K21" s="17" t="str">
        <x:v>ОЧЕРЕДЬ ПО СОТРУДНИКАМ</x:v>
      </x:c>
      <x:c r="L21" s="17" t="str">
        <x:v>ОЧЕРЕДЬ ПО СОТРУДНИКАМ</x:v>
      </x:c>
      <x:c r="M21" s="17" t="str">
        <x:v>ОЧЕРЕДЬ ПО СОТРУДНИКАМ</x:v>
      </x:c>
      <x:c r="N21" s="1"/>
    </x:row>
    <x:row r="22" ht="58" customHeight="1">
      <x:c r="A22" s="1"/>
      <x:c r="B22" s="17" t="str">
        <x:v>Сотрудник</x:v>
      </x:c>
      <x:c r="C22" s="17" t="str">
        <x:v>На расчёте</x:v>
      </x:c>
      <x:c r="D22" s="17" t="str">
        <x:v>Расчёт передан</x:v>
      </x:c>
      <x:c r="E22" s="17" t="str">
        <x:v>Закупка согласуется</x:v>
      </x:c>
      <x:c r="F22" s="17" t="str">
        <x:v>Заказ размещён</x:v>
      </x:c>
      <x:c r="G22" s="17" t="str">
        <x:v>Ожидается отгрузка</x:v>
      </x:c>
      <x:c r="H22" s="17" t="str">
        <x:v>Просрочено</x:v>
      </x:c>
      <x:c r="I22" s="17" t="str">
        <x:v>Всего</x:v>
      </x:c>
      <x:c r="J22" s="2"/>
      <x:c r="K22" s="2"/>
      <x:c r="L22" s="2"/>
      <x:c r="M22" s="2"/>
      <x:c r="N22" s="1"/>
    </x:row>
    <x:row r="23" ht="24" customHeight="1">
      <x:c r="A23" s="1"/>
      <x:c r="B23" s="5" t="str">
        <x:v>Снабженец 1</x:v>
      </x:c>
      <x:c r="C23" s="25" t="n">
        <x:v>6</x:v>
      </x:c>
      <x:c r="D23" s="25" t="n">
        <x:v>5</x:v>
      </x:c>
      <x:c r="E23" s="25" t="n">
        <x:v>3</x:v>
      </x:c>
      <x:c r="F23" s="25" t="n">
        <x:v>8</x:v>
      </x:c>
      <x:c r="G23" s="25" t="n">
        <x:v>4</x:v>
      </x:c>
      <x:c r="H23" s="2" t="n">
        <x:f>SUM(C44:G44)</x:f>
        <x:v>4</x:v>
      </x:c>
      <x:c r="I23" s="2" t="n">
        <x:f>SUM(C23:G23)</x:f>
        <x:v>26</x:v>
      </x:c>
      <x:c r="J23" s="2"/>
      <x:c r="K23" s="2"/>
      <x:c r="L23" s="2"/>
      <x:c r="M23" s="2"/>
      <x:c r="N23" s="1"/>
    </x:row>
    <x:row r="24" ht="24" customHeight="1">
      <x:c r="A24" s="1"/>
      <x:c r="B24" s="5" t="str">
        <x:v>Снабженец 2</x:v>
      </x:c>
      <x:c r="C24" s="25" t="n">
        <x:v>4</x:v>
      </x:c>
      <x:c r="D24" s="25" t="n">
        <x:v>3</x:v>
      </x:c>
      <x:c r="E24" s="25" t="n">
        <x:v>2</x:v>
      </x:c>
      <x:c r="F24" s="25" t="n">
        <x:v>5</x:v>
      </x:c>
      <x:c r="G24" s="25" t="n">
        <x:v>2</x:v>
      </x:c>
      <x:c r="H24" s="2" t="n">
        <x:f>SUM(C45:G45)</x:f>
        <x:v>1</x:v>
      </x:c>
      <x:c r="I24" s="2" t="n">
        <x:f>SUM(C24:G24)</x:f>
        <x:v>16</x:v>
      </x:c>
      <x:c r="J24" s="2"/>
      <x:c r="K24" s="2"/>
      <x:c r="L24" s="2"/>
      <x:c r="M24" s="2"/>
      <x:c r="N24" s="1"/>
    </x:row>
    <x:row r="25" ht="24" customHeight="1">
      <x:c r="A25" s="1"/>
      <x:c r="B25" s="9" t="str">
        <x:v>Итого</x:v>
      </x:c>
      <x:c r="C25" s="9" t="n">
        <x:f>SUM(C23:C24)</x:f>
        <x:v>10</x:v>
      </x:c>
      <x:c r="D25" s="9" t="n">
        <x:f>SUM(D23:D24)</x:f>
        <x:v>8</x:v>
      </x:c>
      <x:c r="E25" s="9" t="n">
        <x:f>SUM(E23:E24)</x:f>
        <x:v>5</x:v>
      </x:c>
      <x:c r="F25" s="9" t="n">
        <x:f>SUM(F23:F24)</x:f>
        <x:v>13</x:v>
      </x:c>
      <x:c r="G25" s="9" t="n">
        <x:f>SUM(G23:G24)</x:f>
        <x:v>6</x:v>
      </x:c>
      <x:c r="H25" s="9" t="n">
        <x:f>SUM(H23:H24)</x:f>
        <x:v>5</x:v>
      </x:c>
      <x:c r="I25" s="9" t="n">
        <x:f>SUM(I23:I24)</x:f>
        <x:v>42</x:v>
      </x:c>
      <x:c r="J25" s="2"/>
      <x:c r="K25" s="2"/>
      <x:c r="L25" s="2"/>
      <x:c r="M25" s="2"/>
      <x:c r="N25" s="1"/>
    </x:row>
    <x:row r="26" ht="24" customHeight="1">
      <x:c r="A26" s="1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1"/>
    </x:row>
    <x:row r="27" ht="24" customHeight="1">
      <x:c r="A27" s="1"/>
      <x:c r="B27" s="17" t="str">
        <x:v>ЗАКАЗЫ И ПЕРЕВОЗКИ — ПРИМЕР РЕЕСТРА</x:v>
      </x:c>
      <x:c r="C27" s="17" t="str">
        <x:v>ЗАКАЗЫ И ПЕРЕВОЗКИ — ПРИМЕР РЕЕСТРА</x:v>
      </x:c>
      <x:c r="D27" s="17" t="str">
        <x:v>ЗАКАЗЫ И ПЕРЕВОЗКИ — ПРИМЕР РЕЕСТРА</x:v>
      </x:c>
      <x:c r="E27" s="17" t="str">
        <x:v>ЗАКАЗЫ И ПЕРЕВОЗКИ — ПРИМЕР РЕЕСТРА</x:v>
      </x:c>
      <x:c r="F27" s="17" t="str">
        <x:v>ЗАКАЗЫ И ПЕРЕВОЗКИ — ПРИМЕР РЕЕСТРА</x:v>
      </x:c>
      <x:c r="G27" s="17" t="str">
        <x:v>ЗАКАЗЫ И ПЕРЕВОЗКИ — ПРИМЕР РЕЕСТРА</x:v>
      </x:c>
      <x:c r="H27" s="17" t="str">
        <x:v>ЗАКАЗЫ И ПЕРЕВОЗКИ — ПРИМЕР РЕЕСТРА</x:v>
      </x:c>
      <x:c r="I27" s="17" t="str">
        <x:v>ЗАКАЗЫ И ПЕРЕВОЗКИ — ПРИМЕР РЕЕСТРА</x:v>
      </x:c>
      <x:c r="J27" s="17" t="str">
        <x:v>ЗАКАЗЫ И ПЕРЕВОЗКИ — ПРИМЕР РЕЕСТРА</x:v>
      </x:c>
      <x:c r="K27" s="17" t="str">
        <x:v>ЗАКАЗЫ И ПЕРЕВОЗКИ — ПРИМЕР РЕЕСТРА</x:v>
      </x:c>
      <x:c r="L27" s="17" t="str">
        <x:v>ЗАКАЗЫ И ПЕРЕВОЗКИ — ПРИМЕР РЕЕСТРА</x:v>
      </x:c>
      <x:c r="M27" s="17" t="str">
        <x:v>ЗАКАЗЫ И ПЕРЕВОЗКИ — ПРИМЕР РЕЕСТРА</x:v>
      </x:c>
      <x:c r="N27" s="1"/>
    </x:row>
    <x:row r="28" ht="24" customHeight="1">
      <x:c r="A28" s="1"/>
      <x:c r="B28" s="7" t="str">
        <x:v>Фрагмент реестра не является источником итогов сверху. Итоги связаны с редактируемыми сводными данными.</x:v>
      </x:c>
      <x:c r="C28" s="7" t="str">
        <x:v>Фрагмент реестра не является источником итогов сверху. Итоги связаны с редактируемыми сводными данными.</x:v>
      </x:c>
      <x:c r="D28" s="7" t="str">
        <x:v>Фрагмент реестра не является источником итогов сверху. Итоги связаны с редактируемыми сводными данными.</x:v>
      </x:c>
      <x:c r="E28" s="7" t="str">
        <x:v>Фрагмент реестра не является источником итогов сверху. Итоги связаны с редактируемыми сводными данными.</x:v>
      </x:c>
      <x:c r="F28" s="7" t="str">
        <x:v>Фрагмент реестра не является источником итогов сверху. Итоги связаны с редактируемыми сводными данными.</x:v>
      </x:c>
      <x:c r="G28" s="7" t="str">
        <x:v>Фрагмент реестра не является источником итогов сверху. Итоги связаны с редактируемыми сводными данными.</x:v>
      </x:c>
      <x:c r="H28" s="7" t="str">
        <x:v>Фрагмент реестра не является источником итогов сверху. Итоги связаны с редактируемыми сводными данными.</x:v>
      </x:c>
      <x:c r="I28" s="7" t="str">
        <x:v>Фрагмент реестра не является источником итогов сверху. Итоги связаны с редактируемыми сводными данными.</x:v>
      </x:c>
      <x:c r="J28" s="7" t="str">
        <x:v>Фрагмент реестра не является источником итогов сверху. Итоги связаны с редактируемыми сводными данными.</x:v>
      </x:c>
      <x:c r="K28" s="7" t="str">
        <x:v>Фрагмент реестра не является источником итогов сверху. Итоги связаны с редактируемыми сводными данными.</x:v>
      </x:c>
      <x:c r="L28" s="7" t="str">
        <x:v>Фрагмент реестра не является источником итогов сверху. Итоги связаны с редактируемыми сводными данными.</x:v>
      </x:c>
      <x:c r="M28" s="7" t="str">
        <x:v>Фрагмент реестра не является источником итогов сверху. Итоги связаны с редактируемыми сводными данными.</x:v>
      </x:c>
      <x:c r="N28" s="1"/>
    </x:row>
    <x:row r="29" ht="42" customHeight="1">
      <x:c r="A29" s="1"/>
      <x:c r="B29" s="17" t="str">
        <x:v>Заказ</x:v>
      </x:c>
      <x:c r="C29" s="17" t="str">
        <x:v>Поставщик</x:v>
      </x:c>
      <x:c r="D29" s="17" t="str">
        <x:v>Сотрудник</x:v>
      </x:c>
      <x:c r="E29" s="17" t="str">
        <x:v>Закупка, ₽</x:v>
      </x:c>
      <x:c r="F29" s="17" t="str">
        <x:v>План
отгрузки</x:v>
      </x:c>
      <x:c r="G29" s="17" t="str">
        <x:v>Факт
отгрузки</x:v>
      </x:c>
      <x:c r="H29" s="17" t="str">
        <x:v>Просрочка, дн.</x:v>
      </x:c>
      <x:c r="I29" s="2"/>
      <x:c r="J29" s="2"/>
      <x:c r="K29" s="2"/>
      <x:c r="L29" s="2"/>
      <x:c r="M29" s="2"/>
      <x:c r="N29" s="1"/>
    </x:row>
    <x:row r="30" ht="40" customHeight="1">
      <x:c r="A30" s="1"/>
      <x:c r="B30" s="21" t="str">
        <x:v>ЗК-1048</x:v>
      </x:c>
      <x:c r="C30" s="21" t="str">
        <x:v>Завод А</x:v>
      </x:c>
      <x:c r="D30" s="21" t="str">
        <x:v>Снабженец 1</x:v>
      </x:c>
      <x:c r="E30" s="22" t="n">
        <x:v>4800000</x:v>
      </x:c>
      <x:c r="F30" s="23" t="n">
        <x:v>46314</x:v>
      </x:c>
      <x:c r="G30" s="23"/>
      <x:c r="H30" s="24" t="n">
        <x:f>IF(F30="","Нет даты",MAX(0,IF(G30="",$L$4,G30)-F30))</x:f>
        <x:v>2</x:v>
      </x:c>
      <x:c r="I30" s="2"/>
      <x:c r="J30" s="2"/>
      <x:c r="K30" s="2"/>
      <x:c r="L30" s="2"/>
      <x:c r="M30" s="2"/>
      <x:c r="N30" s="1"/>
    </x:row>
    <x:row r="31" ht="40" customHeight="1">
      <x:c r="A31" s="1"/>
      <x:c r="B31" s="21" t="str">
        <x:v>ЗК-1053</x:v>
      </x:c>
      <x:c r="C31" s="21" t="str">
        <x:v>Завод Б</x:v>
      </x:c>
      <x:c r="D31" s="21" t="str">
        <x:v>Снабженец 2</x:v>
      </x:c>
      <x:c r="E31" s="22" t="n">
        <x:v>2150000</x:v>
      </x:c>
      <x:c r="F31" s="23" t="n">
        <x:v>46315</x:v>
      </x:c>
      <x:c r="G31" s="23"/>
      <x:c r="H31" s="24" t="n">
        <x:f>IF(F31="","Нет даты",MAX(0,IF(G31="",$L$4,G31)-F31))</x:f>
        <x:v>1</x:v>
      </x:c>
      <x:c r="I31" s="2"/>
      <x:c r="J31" s="2"/>
      <x:c r="K31" s="2"/>
      <x:c r="L31" s="2"/>
      <x:c r="M31" s="2"/>
      <x:c r="N31" s="1"/>
    </x:row>
    <x:row r="32" ht="40" customHeight="1">
      <x:c r="A32" s="1"/>
      <x:c r="B32" s="21" t="str">
        <x:v>ЗК-1061</x:v>
      </x:c>
      <x:c r="C32" s="21" t="str">
        <x:v>Поставщик В</x:v>
      </x:c>
      <x:c r="D32" s="21" t="str">
        <x:v>Снабженец 1</x:v>
      </x:c>
      <x:c r="E32" s="22" t="n">
        <x:v>640000</x:v>
      </x:c>
      <x:c r="F32" s="23" t="n">
        <x:v>46316</x:v>
      </x:c>
      <x:c r="G32" s="23"/>
      <x:c r="H32" s="24" t="n">
        <x:f>IF(F32="","Нет даты",MAX(0,IF(G32="",$L$4,G32)-F32))</x:f>
        <x:v>0</x:v>
      </x:c>
      <x:c r="I32" s="2"/>
      <x:c r="J32" s="2"/>
      <x:c r="K32" s="2"/>
      <x:c r="L32" s="2"/>
      <x:c r="M32" s="2"/>
      <x:c r="N32" s="1"/>
    </x:row>
    <x:row r="33" ht="24" customHeight="1">
      <x:c r="A33" s="1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1"/>
    </x:row>
    <x:row r="34" ht="24" customHeight="1">
      <x:c r="A34" s="1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1"/>
    </x:row>
    <x:row r="35" ht="24" customHeight="1">
      <x:c r="A35" s="1"/>
      <x:c r="B35" s="17" t="str">
        <x:v>ДАННЫЕ ДЛЯ РЕДАКТИРОВАНИЯ</x:v>
      </x:c>
      <x:c r="C35" s="17" t="str">
        <x:v>ДАННЫЕ ДЛЯ РЕДАКТИРОВАНИЯ</x:v>
      </x:c>
      <x:c r="D35" s="17" t="str">
        <x:v>ДАННЫЕ ДЛЯ РЕДАКТИРОВАНИЯ</x:v>
      </x:c>
      <x:c r="E35" s="17" t="str">
        <x:v>ДАННЫЕ ДЛЯ РЕДАКТИРОВАНИЯ</x:v>
      </x:c>
      <x:c r="F35" s="17" t="str">
        <x:v>ДАННЫЕ ДЛЯ РЕДАКТИРОВАНИЯ</x:v>
      </x:c>
      <x:c r="G35" s="17" t="str">
        <x:v>ДАННЫЕ ДЛЯ РЕДАКТИРОВАНИЯ</x:v>
      </x:c>
      <x:c r="H35" s="17" t="str">
        <x:v>ДАННЫЕ ДЛЯ РЕДАКТИРОВАНИЯ</x:v>
      </x:c>
      <x:c r="I35" s="17" t="str">
        <x:v>ДАННЫЕ ДЛЯ РЕДАКТИРОВАНИЯ</x:v>
      </x:c>
      <x:c r="J35" s="17" t="str">
        <x:v>ДАННЫЕ ДЛЯ РЕДАКТИРОВАНИЯ</x:v>
      </x:c>
      <x:c r="K35" s="17" t="str">
        <x:v>ДАННЫЕ ДЛЯ РЕДАКТИРОВАНИЯ</x:v>
      </x:c>
      <x:c r="L35" s="17" t="str">
        <x:v>ДАННЫЕ ДЛЯ РЕДАКТИРОВАНИЯ</x:v>
      </x:c>
      <x:c r="M35" s="17" t="str">
        <x:v>ДАННЫЕ ДЛЯ РЕДАКТИРОВАНИЯ</x:v>
      </x:c>
      <x:c r="N35" s="1"/>
    </x:row>
    <x:row r="36" ht="24" customHeight="1">
      <x:c r="A36" s="1"/>
      <x:c r="B36" s="2" t="str">
        <x:v>Источник примеров — визуализация из чата. Заменяйте значения в жёлтых ячейках; формулы пересчитают панель.</x:v>
      </x:c>
      <x:c r="C36" s="2" t="str">
        <x:v>Источник примеров — визуализация из чата. Заменяйте значения в жёлтых ячейках; формулы пересчитают панель.</x:v>
      </x:c>
      <x:c r="D36" s="2" t="str">
        <x:v>Источник примеров — визуализация из чата. Заменяйте значения в жёлтых ячейках; формулы пересчитают панель.</x:v>
      </x:c>
      <x:c r="E36" s="2" t="str">
        <x:v>Источник примеров — визуализация из чата. Заменяйте значения в жёлтых ячейках; формулы пересчитают панель.</x:v>
      </x:c>
      <x:c r="F36" s="2" t="str">
        <x:v>Источник примеров — визуализация из чата. Заменяйте значения в жёлтых ячейках; формулы пересчитают панель.</x:v>
      </x:c>
      <x:c r="G36" s="2" t="str">
        <x:v>Источник примеров — визуализация из чата. Заменяйте значения в жёлтых ячейках; формулы пересчитают панель.</x:v>
      </x:c>
      <x:c r="H36" s="2" t="str">
        <x:v>Источник примеров — визуализация из чата. Заменяйте значения в жёлтых ячейках; формулы пересчитают панель.</x:v>
      </x:c>
      <x:c r="I36" s="2" t="str">
        <x:v>Источник примеров — визуализация из чата. Заменяйте значения в жёлтых ячейках; формулы пересчитают панель.</x:v>
      </x:c>
      <x:c r="J36" s="2" t="str">
        <x:v>Источник примеров — визуализация из чата. Заменяйте значения в жёлтых ячейках; формулы пересчитают панель.</x:v>
      </x:c>
      <x:c r="K36" s="2" t="str">
        <x:v>Источник примеров — визуализация из чата. Заменяйте значения в жёлтых ячейках; формулы пересчитают панель.</x:v>
      </x:c>
      <x:c r="L36" s="2" t="str">
        <x:v>Источник примеров — визуализация из чата. Заменяйте значения в жёлтых ячейках; формулы пересчитают панель.</x:v>
      </x:c>
      <x:c r="M36" s="2" t="str">
        <x:v>Источник примеров — визуализация из чата. Заменяйте значения в жёлтых ячейках; формулы пересчитают панель.</x:v>
      </x:c>
      <x:c r="N36" s="1"/>
    </x:row>
    <x:row r="37" ht="24" customHeight="1">
      <x:c r="A37" s="1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1"/>
    </x:row>
    <x:row r="38" ht="44" customHeight="1">
      <x:c r="A38" s="1"/>
      <x:c r="B38" s="17" t="str">
        <x:v>Сотрудник</x:v>
      </x:c>
      <x:c r="C38" s="17" t="str">
        <x:v>Сотрудник</x:v>
      </x:c>
      <x:c r="D38" s="17" t="str">
        <x:v>Получено</x:v>
      </x:c>
      <x:c r="E38" s="17" t="str">
        <x:v>Передано расчётов</x:v>
      </x:c>
      <x:c r="F38" s="17" t="str">
        <x:v>Исполнено закупок</x:v>
      </x:c>
      <x:c r="G38" s="2"/>
      <x:c r="H38" s="2"/>
      <x:c r="I38" s="2"/>
      <x:c r="J38" s="2"/>
      <x:c r="K38" s="2"/>
      <x:c r="L38" s="2"/>
      <x:c r="M38" s="2"/>
      <x:c r="N38" s="1"/>
    </x:row>
    <x:row r="39" ht="24" customHeight="1">
      <x:c r="A39" s="1"/>
      <x:c r="B39" s="2" t="str">
        <x:f>B23</x:f>
        <x:v>Снабженец 1</x:v>
      </x:c>
      <x:c r="C39" s="2" t="str"/>
      <x:c r="D39" s="5" t="n">
        <x:v>18</x:v>
      </x:c>
      <x:c r="E39" s="5" t="n">
        <x:v>9</x:v>
      </x:c>
      <x:c r="F39" s="5" t="n">
        <x:v>4</x:v>
      </x:c>
      <x:c r="G39" s="2"/>
      <x:c r="H39" s="2"/>
      <x:c r="I39" s="2"/>
      <x:c r="J39" s="2"/>
      <x:c r="K39" s="2"/>
      <x:c r="L39" s="2"/>
      <x:c r="M39" s="2"/>
      <x:c r="N39" s="1"/>
    </x:row>
    <x:row r="40" ht="24" customHeight="1">
      <x:c r="A40" s="1"/>
      <x:c r="B40" s="2" t="str">
        <x:f>B24</x:f>
        <x:v>Снабженец 2</x:v>
      </x:c>
      <x:c r="C40" s="2" t="str"/>
      <x:c r="D40" s="5" t="n">
        <x:v>12</x:v>
      </x:c>
      <x:c r="E40" s="5" t="n">
        <x:v>7</x:v>
      </x:c>
      <x:c r="F40" s="5" t="n">
        <x:v>2</x:v>
      </x:c>
      <x:c r="G40" s="2"/>
      <x:c r="H40" s="2"/>
      <x:c r="I40" s="2"/>
      <x:c r="J40" s="2"/>
      <x:c r="K40" s="2"/>
      <x:c r="L40" s="2"/>
      <x:c r="M40" s="2"/>
      <x:c r="N40" s="1"/>
    </x:row>
    <x:row r="41" ht="24" customHeight="1">
      <x:c r="A41" s="1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1"/>
    </x:row>
    <x:row r="42" ht="24" customHeight="1">
      <x:c r="A42" s="1"/>
      <x:c r="B42" s="2" t="str">
        <x:v>Просроченные заявки по текущему этапу. Одна заявка учитывается только на одном этапе.</x:v>
      </x:c>
      <x:c r="C42" s="2" t="str">
        <x:v>Просроченные заявки по текущему этапу. Одна заявка учитывается только на одном этапе.</x:v>
      </x:c>
      <x:c r="D42" s="2" t="str">
        <x:v>Просроченные заявки по текущему этапу. Одна заявка учитывается только на одном этапе.</x:v>
      </x:c>
      <x:c r="E42" s="2" t="str">
        <x:v>Просроченные заявки по текущему этапу. Одна заявка учитывается только на одном этапе.</x:v>
      </x:c>
      <x:c r="F42" s="2" t="str">
        <x:v>Просроченные заявки по текущему этапу. Одна заявка учитывается только на одном этапе.</x:v>
      </x:c>
      <x:c r="G42" s="2" t="str">
        <x:v>Просроченные заявки по текущему этапу. Одна заявка учитывается только на одном этапе.</x:v>
      </x:c>
      <x:c r="H42" s="2" t="str">
        <x:v>Просроченные заявки по текущему этапу. Одна заявка учитывается только на одном этапе.</x:v>
      </x:c>
      <x:c r="I42" s="2" t="str">
        <x:v>Просроченные заявки по текущему этапу. Одна заявка учитывается только на одном этапе.</x:v>
      </x:c>
      <x:c r="J42" s="2" t="str">
        <x:v>Просроченные заявки по текущему этапу. Одна заявка учитывается только на одном этапе.</x:v>
      </x:c>
      <x:c r="K42" s="2" t="str">
        <x:v>Просроченные заявки по текущему этапу. Одна заявка учитывается только на одном этапе.</x:v>
      </x:c>
      <x:c r="L42" s="2" t="str">
        <x:v>Просроченные заявки по текущему этапу. Одна заявка учитывается только на одном этапе.</x:v>
      </x:c>
      <x:c r="M42" s="2" t="str">
        <x:v>Просроченные заявки по текущему этапу. Одна заявка учитывается только на одном этапе.</x:v>
      </x:c>
      <x:c r="N42" s="1"/>
    </x:row>
    <x:row r="43" ht="58" customHeight="1">
      <x:c r="A43" s="1"/>
      <x:c r="B43" s="17" t="str">
        <x:v>Сотрудник</x:v>
      </x:c>
      <x:c r="C43" s="17" t="str">
        <x:v>На расчёте</x:v>
      </x:c>
      <x:c r="D43" s="17" t="str">
        <x:v>Расчёт передан</x:v>
      </x:c>
      <x:c r="E43" s="17" t="str">
        <x:v>Закупка согласуется</x:v>
      </x:c>
      <x:c r="F43" s="17" t="str">
        <x:v>Заказ размещён</x:v>
      </x:c>
      <x:c r="G43" s="17" t="str">
        <x:v>Ожидается отгрузка</x:v>
      </x:c>
      <x:c r="H43" s="2"/>
      <x:c r="I43" s="2"/>
      <x:c r="J43" s="2"/>
      <x:c r="K43" s="2"/>
      <x:c r="L43" s="2"/>
      <x:c r="M43" s="2"/>
      <x:c r="N43" s="1"/>
    </x:row>
    <x:row r="44" ht="24" customHeight="1">
      <x:c r="A44" s="1"/>
      <x:c r="B44" s="2" t="str">
        <x:f>B23</x:f>
        <x:v>Снабженец 1</x:v>
      </x:c>
      <x:c r="C44" s="25" t="n">
        <x:v>2</x:v>
      </x:c>
      <x:c r="D44" s="25" t="n">
        <x:v>0</x:v>
      </x:c>
      <x:c r="E44" s="25" t="n">
        <x:v>1</x:v>
      </x:c>
      <x:c r="F44" s="25" t="n">
        <x:v>0</x:v>
      </x:c>
      <x:c r="G44" s="25" t="n">
        <x:v>1</x:v>
      </x:c>
      <x:c r="H44" s="2"/>
      <x:c r="I44" s="2"/>
      <x:c r="J44" s="2"/>
      <x:c r="K44" s="2"/>
      <x:c r="L44" s="2"/>
      <x:c r="M44" s="2"/>
      <x:c r="N44" s="1"/>
    </x:row>
    <x:row r="45" ht="24" customHeight="1">
      <x:c r="A45" s="1"/>
      <x:c r="B45" s="2" t="str">
        <x:f>B24</x:f>
        <x:v>Снабженец 2</x:v>
      </x:c>
      <x:c r="C45" s="25" t="n">
        <x:v>1</x:v>
      </x:c>
      <x:c r="D45" s="25" t="n">
        <x:v>0</x:v>
      </x:c>
      <x:c r="E45" s="25" t="n">
        <x:v>0</x:v>
      </x:c>
      <x:c r="F45" s="25" t="n">
        <x:v>0</x:v>
      </x:c>
      <x:c r="G45" s="25" t="n">
        <x:v>0</x:v>
      </x:c>
      <x:c r="H45" s="2"/>
      <x:c r="I45" s="2"/>
      <x:c r="J45" s="2"/>
      <x:c r="K45" s="2"/>
      <x:c r="L45" s="2"/>
      <x:c r="M45" s="2"/>
      <x:c r="N45" s="1"/>
    </x:row>
    <x:row r="46" ht="24" customHeight="1">
      <x:c r="A46" s="1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1"/>
    </x:row>
    <x:row r="47" ht="24" customHeight="1">
      <x:c r="A47" s="1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1"/>
    </x:row>
    <x:row r="48" ht="24" customHeight="1">
      <x:c r="A48" s="1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1"/>
    </x:row>
  </x:sheetData>
  <x:mergeCells>
    <x:mergeCell ref="B2:M2"/>
    <x:mergeCell ref="B3:M3"/>
    <x:mergeCell ref="B4:H4"/>
    <x:mergeCell ref="I4:K4"/>
    <x:mergeCell ref="L4:M4"/>
    <x:mergeCell ref="B5:M5"/>
    <x:mergeCell ref="B7:D7"/>
    <x:mergeCell ref="B8:D9"/>
    <x:mergeCell ref="E7:G7"/>
    <x:mergeCell ref="E8:G9"/>
    <x:mergeCell ref="H7:J7"/>
    <x:mergeCell ref="H8:J9"/>
    <x:mergeCell ref="K7:M7"/>
    <x:mergeCell ref="K8:M9"/>
    <x:mergeCell ref="B11:M11"/>
    <x:mergeCell ref="B12:C12"/>
    <x:mergeCell ref="B13:C13"/>
    <x:mergeCell ref="B14:C14"/>
    <x:mergeCell ref="B15:C15"/>
    <x:mergeCell ref="B16:C16"/>
    <x:mergeCell ref="B17:C17"/>
    <x:mergeCell ref="D12:E12"/>
    <x:mergeCell ref="D13:E13"/>
    <x:mergeCell ref="D14:E14"/>
    <x:mergeCell ref="D15:E15"/>
    <x:mergeCell ref="D16:E16"/>
    <x:mergeCell ref="D17:E17"/>
    <x:mergeCell ref="F12:G12"/>
    <x:mergeCell ref="F13:G13"/>
    <x:mergeCell ref="F14:G14"/>
    <x:mergeCell ref="F15:G15"/>
    <x:mergeCell ref="F16:G16"/>
    <x:mergeCell ref="F17:G17"/>
    <x:mergeCell ref="H12:I12"/>
    <x:mergeCell ref="H13:I13"/>
    <x:mergeCell ref="H14:I14"/>
    <x:mergeCell ref="H15:I15"/>
    <x:mergeCell ref="H16:I16"/>
    <x:mergeCell ref="H17:I17"/>
    <x:mergeCell ref="J12:K12"/>
    <x:mergeCell ref="J13:K13"/>
    <x:mergeCell ref="J14:K14"/>
    <x:mergeCell ref="J15:K15"/>
    <x:mergeCell ref="J16:K16"/>
    <x:mergeCell ref="J17:K17"/>
    <x:mergeCell ref="L12:M12"/>
    <x:mergeCell ref="L13:M13"/>
    <x:mergeCell ref="L14:M14"/>
    <x:mergeCell ref="L15:M15"/>
    <x:mergeCell ref="L16:M16"/>
    <x:mergeCell ref="L17:M17"/>
    <x:mergeCell ref="B19:M19"/>
    <x:mergeCell ref="B21:M21"/>
    <x:mergeCell ref="B27:M27"/>
    <x:mergeCell ref="B28:M28"/>
    <x:mergeCell ref="B35:M35"/>
    <x:mergeCell ref="B36:M36"/>
    <x:mergeCell ref="B38:C38"/>
    <x:mergeCell ref="B39:C39"/>
    <x:mergeCell ref="B40:C40"/>
    <x:mergeCell ref="B42:M42"/>
  </x:mergeCells>
  <x:conditionalFormatting sqref="D17:E17">
    <x:cfRule type="cellIs" dxfId="0" priority="1" operator="greaterThan">
      <x:formula>0</x:formula>
    </x:cfRule>
  </x:conditionalFormatting>
  <x:conditionalFormatting sqref="F17:G17">
    <x:cfRule type="cellIs" dxfId="1" priority="2" operator="greaterThan">
      <x:formula>0</x:formula>
    </x:cfRule>
  </x:conditionalFormatting>
  <x:conditionalFormatting sqref="H17:I17">
    <x:cfRule type="cellIs" dxfId="2" priority="3" operator="greaterThan">
      <x:formula>0</x:formula>
    </x:cfRule>
  </x:conditionalFormatting>
  <x:conditionalFormatting sqref="J17:K17">
    <x:cfRule type="cellIs" dxfId="3" priority="4" operator="greaterThan">
      <x:formula>0</x:formula>
    </x:cfRule>
  </x:conditionalFormatting>
  <x:conditionalFormatting sqref="L17:M17">
    <x:cfRule type="cellIs" dxfId="4" priority="5" operator="greaterThan">
      <x:formula>0</x:formula>
    </x:cfRule>
  </x:conditionalFormatting>
  <x:conditionalFormatting sqref="H30:H32">
    <x:cfRule type="cellIs" dxfId="5" priority="6" operator="greaterThan">
      <x:formula>0</x:formula>
    </x:cfRule>
  </x:conditionalFormatting>
  <x:dataValidations count="1">
    <x:dataValidation type="whole" operator="greaterThanOrEqual" sqref="C44:G45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680fa976a34dca"/>
  </x:tableParts>
</x:worksheet>
</file>

<file path=xl/worksheets/sheet2.xml><?xml version="1.0" encoding="utf-8"?>
<x:worksheet xmlns:x="http://schemas.openxmlformats.org/spreadsheetml/2006/main">
  <x:sheetPr>
    <x:tabColor rgb="FF203C5C"/>
  </x:sheetPr>
  <x:sheetViews>
    <x:sheetView showGridLines="0" workbookViewId="0"/>
  </x:sheetViews>
  <x:sheetFormatPr defaultRowHeight="15"/>
  <x:cols>
    <x:col min="2" max="2" width="1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" max="1" width="3" hidden="0" customWidth="1"/>
  </x:cols>
  <x:sheetData>
    <x:row r="1" ht="24" customHeight="1">
      <x:c r="A1" s="1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1"/>
    </x:row>
    <x:row r="2" ht="34" customHeight="1">
      <x:c r="A2" s="1"/>
      <x:c r="B2" s="3" t="str">
        <x:v>ТРАНСТЕХКОМ   Логистика</x:v>
      </x:c>
      <x:c r="C2" s="3" t="str">
        <x:v>ТРАНСТЕХКОМ   Логистика</x:v>
      </x:c>
      <x:c r="D2" s="3" t="str">
        <x:v>ТРАНСТЕХКОМ   Логистика</x:v>
      </x:c>
      <x:c r="E2" s="3" t="str">
        <x:v>ТРАНСТЕХКОМ   Логистика</x:v>
      </x:c>
      <x:c r="F2" s="3" t="str">
        <x:v>ТРАНСТЕХКОМ   Логистика</x:v>
      </x:c>
      <x:c r="G2" s="3" t="str">
        <x:v>ТРАНСТЕХКОМ   Логистика</x:v>
      </x:c>
      <x:c r="H2" s="3" t="str">
        <x:v>ТРАНСТЕХКОМ   Логистика</x:v>
      </x:c>
      <x:c r="I2" s="3" t="str">
        <x:v>ТРАНСТЕХКОМ   Логистика</x:v>
      </x:c>
      <x:c r="J2" s="3" t="str">
        <x:v>ТРАНСТЕХКОМ   Логистика</x:v>
      </x:c>
      <x:c r="K2" s="3" t="str">
        <x:v>ТРАНСТЕХКОМ   Логистика</x:v>
      </x:c>
      <x:c r="L2" s="3" t="str">
        <x:v>ТРАНСТЕХКОМ   Логистика</x:v>
      </x:c>
      <x:c r="M2" s="3" t="str">
        <x:v>ТРАНСТЕХКОМ   Логистика</x:v>
      </x:c>
      <x:c r="N2" s="1"/>
    </x:row>
    <x:row r="3" ht="24" customHeight="1">
      <x:c r="A3" s="1"/>
      <x:c r="B3" s="4" t="str">
        <x:v>Демонстрационный макет. Подключение к Битрикс24 и 1С не настроено.</x:v>
      </x:c>
      <x:c r="C3" s="4" t="str">
        <x:v>Демонстрационный макет. Подключение к Битрикс24 и 1С не настроено.</x:v>
      </x:c>
      <x:c r="D3" s="4" t="str">
        <x:v>Демонстрационный макет. Подключение к Битрикс24 и 1С не настроено.</x:v>
      </x:c>
      <x:c r="E3" s="4" t="str">
        <x:v>Демонстрационный макет. Подключение к Битрикс24 и 1С не настроено.</x:v>
      </x:c>
      <x:c r="F3" s="4" t="str">
        <x:v>Демонстрационный макет. Подключение к Битрикс24 и 1С не настроено.</x:v>
      </x:c>
      <x:c r="G3" s="4" t="str">
        <x:v>Демонстрационный макет. Подключение к Битрикс24 и 1С не настроено.</x:v>
      </x:c>
      <x:c r="H3" s="4" t="str">
        <x:v>Демонстрационный макет. Подключение к Битрикс24 и 1С не настроено.</x:v>
      </x:c>
      <x:c r="I3" s="4" t="str">
        <x:v>Демонстрационный макет. Подключение к Битрикс24 и 1С не настроено.</x:v>
      </x:c>
      <x:c r="J3" s="4" t="str">
        <x:v>Демонстрационный макет. Подключение к Битрикс24 и 1С не настроено.</x:v>
      </x:c>
      <x:c r="K3" s="4" t="str">
        <x:v>Демонстрационный макет. Подключение к Битрикс24 и 1С не настроено.</x:v>
      </x:c>
      <x:c r="L3" s="4" t="str">
        <x:v>Демонстрационный макет. Подключение к Битрикс24 и 1С не настроено.</x:v>
      </x:c>
      <x:c r="M3" s="4" t="str">
        <x:v>Демонстрационный макет. Подключение к Битрикс24 и 1С не настроено.</x:v>
      </x:c>
      <x:c r="N3" s="1"/>
    </x:row>
    <x:row r="4" ht="24" customHeight="1">
      <x:c r="A4" s="1"/>
      <x:c r="B4" s="2" t="str">
        <x:v>Период движения: 01–21.10.2026. Очередь на дату среза.</x:v>
      </x:c>
      <x:c r="C4" s="2" t="str">
        <x:v>Период движения: 01–21.10.2026. Очередь на дату среза.</x:v>
      </x:c>
      <x:c r="D4" s="2" t="str">
        <x:v>Период движения: 01–21.10.2026. Очередь на дату среза.</x:v>
      </x:c>
      <x:c r="E4" s="2" t="str">
        <x:v>Период движения: 01–21.10.2026. Очередь на дату среза.</x:v>
      </x:c>
      <x:c r="F4" s="2" t="str">
        <x:v>Период движения: 01–21.10.2026. Очередь на дату среза.</x:v>
      </x:c>
      <x:c r="G4" s="2" t="str">
        <x:v>Период движения: 01–21.10.2026. Очередь на дату среза.</x:v>
      </x:c>
      <x:c r="H4" s="2" t="str">
        <x:v>Период движения: 01–21.10.2026. Очередь на дату среза.</x:v>
      </x:c>
      <x:c r="I4" s="2" t="str">
        <x:v>Дата среза</x:v>
      </x:c>
      <x:c r="J4" s="2" t="str">
        <x:v>Дата среза</x:v>
      </x:c>
      <x:c r="K4" s="2" t="str">
        <x:v>Дата среза</x:v>
      </x:c>
      <x:c r="L4" s="6" t="n">
        <x:v>46316</x:v>
      </x:c>
      <x:c r="M4" s="6" t="n">
        <x:v>46316</x:v>
      </x:c>
      <x:c r="N4" s="1"/>
    </x:row>
    <x:row r="5" ht="24" customHeight="1">
      <x:c r="A5" s="1"/>
      <x:c r="B5" s="7" t="str">
        <x:v>Жёлтые ячейки — ввод. Белые и голубые — формулы. Все подписи и оформление можно менять.</x:v>
      </x:c>
      <x:c r="C5" s="7" t="str">
        <x:v>Жёлтые ячейки — ввод. Белые и голубые — формулы. Все подписи и оформление можно менять.</x:v>
      </x:c>
      <x:c r="D5" s="7" t="str">
        <x:v>Жёлтые ячейки — ввод. Белые и голубые — формулы. Все подписи и оформление можно менять.</x:v>
      </x:c>
      <x:c r="E5" s="7" t="str">
        <x:v>Жёлтые ячейки — ввод. Белые и голубые — формулы. Все подписи и оформление можно менять.</x:v>
      </x:c>
      <x:c r="F5" s="7" t="str">
        <x:v>Жёлтые ячейки — ввод. Белые и голубые — формулы. Все подписи и оформление можно менять.</x:v>
      </x:c>
      <x:c r="G5" s="7" t="str">
        <x:v>Жёлтые ячейки — ввод. Белые и голубые — формулы. Все подписи и оформление можно менять.</x:v>
      </x:c>
      <x:c r="H5" s="7" t="str">
        <x:v>Жёлтые ячейки — ввод. Белые и голубые — формулы. Все подписи и оформление можно менять.</x:v>
      </x:c>
      <x:c r="I5" s="7" t="str">
        <x:v>Жёлтые ячейки — ввод. Белые и голубые — формулы. Все подписи и оформление можно менять.</x:v>
      </x:c>
      <x:c r="J5" s="7" t="str">
        <x:v>Жёлтые ячейки — ввод. Белые и голубые — формулы. Все подписи и оформление можно менять.</x:v>
      </x:c>
      <x:c r="K5" s="7" t="str">
        <x:v>Жёлтые ячейки — ввод. Белые и голубые — формулы. Все подписи и оформление можно менять.</x:v>
      </x:c>
      <x:c r="L5" s="7" t="str">
        <x:v>Жёлтые ячейки — ввод. Белые и голубые — формулы. Все подписи и оформление можно менять.</x:v>
      </x:c>
      <x:c r="M5" s="7" t="str">
        <x:v>Жёлтые ячейки — ввод. Белые и голубые — формулы. Все подписи и оформление можно менять.</x:v>
      </x:c>
      <x:c r="N5" s="1"/>
    </x:row>
    <x:row r="6" ht="24" customHeight="1">
      <x:c r="A6" s="1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1"/>
    </x:row>
    <x:row r="7" ht="24" customHeight="1">
      <x:c r="A7" s="1"/>
      <x:c r="B7" s="9" t="str">
        <x:v>В работе сейчас</x:v>
      </x:c>
      <x:c r="C7" s="9" t="str">
        <x:v>В работе сейчас</x:v>
      </x:c>
      <x:c r="D7" s="9" t="str">
        <x:v>В работе сейчас</x:v>
      </x:c>
      <x:c r="E7" s="9" t="str">
        <x:v>К отгрузке сегодня</x:v>
      </x:c>
      <x:c r="F7" s="9" t="str">
        <x:v>К отгрузке сегодня</x:v>
      </x:c>
      <x:c r="G7" s="9" t="str">
        <x:v>К отгрузке сегодня</x:v>
      </x:c>
      <x:c r="H7" s="9" t="str">
        <x:v>К доставке сегодня</x:v>
      </x:c>
      <x:c r="I7" s="9" t="str">
        <x:v>К доставке сегодня</x:v>
      </x:c>
      <x:c r="J7" s="9" t="str">
        <x:v>К доставке сегодня</x:v>
      </x:c>
      <x:c r="K7" s="9" t="str">
        <x:v>Просрочено</x:v>
      </x:c>
      <x:c r="L7" s="9" t="str">
        <x:v>Просрочено</x:v>
      </x:c>
      <x:c r="M7" s="9" t="str">
        <x:v>Просрочено</x:v>
      </x:c>
      <x:c r="N7" s="1"/>
    </x:row>
    <x:row r="8" ht="24" customHeight="1">
      <x:c r="A8" s="1"/>
      <x:c r="B8" s="11" t="n">
        <x:f>SUM(C23:G24)</x:f>
        <x:v>25</x:v>
      </x:c>
      <x:c r="C8" s="11" t="str"/>
      <x:c r="D8" s="11" t="str"/>
      <x:c r="E8" s="11" t="n">
        <x:f>SUM(D39:D40)</x:f>
        <x:v>5</x:v>
      </x:c>
      <x:c r="F8" s="11" t="str"/>
      <x:c r="G8" s="11" t="str"/>
      <x:c r="H8" s="11" t="n">
        <x:f>SUM(E39:E40)</x:f>
        <x:v>4</x:v>
      </x:c>
      <x:c r="I8" s="11" t="str"/>
      <x:c r="J8" s="11" t="str"/>
      <x:c r="K8" s="13" t="n">
        <x:f>SUM(H23:H24)</x:f>
        <x:v>4</x:v>
      </x:c>
      <x:c r="L8" s="13" t="str"/>
      <x:c r="M8" s="13" t="str"/>
      <x:c r="N8" s="1"/>
    </x:row>
    <x:row r="9" ht="24" customHeight="1">
      <x:c r="A9" s="1"/>
      <x:c r="B9" s="11" t="str"/>
      <x:c r="C9" s="11" t="str"/>
      <x:c r="D9" s="11" t="str"/>
      <x:c r="E9" s="11" t="str"/>
      <x:c r="F9" s="11" t="str"/>
      <x:c r="G9" s="11" t="str"/>
      <x:c r="H9" s="11" t="str"/>
      <x:c r="I9" s="11" t="str"/>
      <x:c r="J9" s="11" t="str"/>
      <x:c r="K9" s="13" t="str"/>
      <x:c r="L9" s="13" t="str"/>
      <x:c r="M9" s="13" t="str"/>
      <x:c r="N9" s="1"/>
    </x:row>
    <x:row r="10" ht="24" customHeight="1">
      <x:c r="A10" s="1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1"/>
    </x:row>
    <x:row r="11" ht="24" customHeight="1">
      <x:c r="A11" s="1"/>
      <x:c r="B11" s="17" t="str">
        <x:v>ГДЕ НАХОДИТСЯ РАБОТА</x:v>
      </x:c>
      <x:c r="C11" s="17" t="str">
        <x:v>ГДЕ НАХОДИТСЯ РАБОТА</x:v>
      </x:c>
      <x:c r="D11" s="17" t="str">
        <x:v>ГДЕ НАХОДИТСЯ РАБОТА</x:v>
      </x:c>
      <x:c r="E11" s="17" t="str">
        <x:v>ГДЕ НАХОДИТСЯ РАБОТА</x:v>
      </x:c>
      <x:c r="F11" s="17" t="str">
        <x:v>ГДЕ НАХОДИТСЯ РАБОТА</x:v>
      </x:c>
      <x:c r="G11" s="17" t="str">
        <x:v>ГДЕ НАХОДИТСЯ РАБОТА</x:v>
      </x:c>
      <x:c r="H11" s="17" t="str">
        <x:v>ГДЕ НАХОДИТСЯ РАБОТА</x:v>
      </x:c>
      <x:c r="I11" s="17" t="str">
        <x:v>ГДЕ НАХОДИТСЯ РАБОТА</x:v>
      </x:c>
      <x:c r="J11" s="17" t="str">
        <x:v>ГДЕ НАХОДИТСЯ РАБОТА</x:v>
      </x:c>
      <x:c r="K11" s="17" t="str">
        <x:v>ГДЕ НАХОДИТСЯ РАБОТА</x:v>
      </x:c>
      <x:c r="L11" s="17" t="str">
        <x:v>ГДЕ НАХОДИТСЯ РАБОТА</x:v>
      </x:c>
      <x:c r="M11" s="17" t="str">
        <x:v>ГДЕ НАХОДИТСЯ РАБОТА</x:v>
      </x:c>
      <x:c r="N11" s="1"/>
    </x:row>
    <x:row r="12" ht="44" customHeight="1">
      <x:c r="A12" s="1"/>
      <x:c r="B12" s="2" t="str">
        <x:v>Этап</x:v>
      </x:c>
      <x:c r="C12" s="2" t="str">
        <x:v>Этап</x:v>
      </x:c>
      <x:c r="D12" s="18" t="str">
        <x:v>На расчёте</x:v>
      </x:c>
      <x:c r="E12" s="18" t="str">
        <x:v>На расчёте</x:v>
      </x:c>
      <x:c r="F12" s="18" t="str">
        <x:v>На согласовании</x:v>
      </x:c>
      <x:c r="G12" s="18" t="str">
        <x:v>На согласовании</x:v>
      </x:c>
      <x:c r="H12" s="18" t="str">
        <x:v>Подготовка отгрузки</x:v>
      </x:c>
      <x:c r="I12" s="18" t="str">
        <x:v>Подготовка отгрузки</x:v>
      </x:c>
      <x:c r="J12" s="18" t="str">
        <x:v>В пути</x:v>
      </x:c>
      <x:c r="K12" s="18" t="str">
        <x:v>В пути</x:v>
      </x:c>
      <x:c r="L12" s="18" t="str">
        <x:v>Доставлено, не закрыто</x:v>
      </x:c>
      <x:c r="M12" s="18" t="str">
        <x:v>Доставлено, не закрыто</x:v>
      </x:c>
      <x:c r="N12" s="1"/>
    </x:row>
    <x:row r="13" ht="24" customHeight="1">
      <x:c r="A13" s="1"/>
      <x:c r="B13" s="2" t="str">
        <x:v>Сейчас, заявок</x:v>
      </x:c>
      <x:c r="C13" s="2" t="str">
        <x:v>Сейчас, заявок</x:v>
      </x:c>
      <x:c r="D13" s="19" t="n">
        <x:f>SUM(C23:C24)</x:f>
        <x:v>5</x:v>
      </x:c>
      <x:c r="E13" s="19" t="str"/>
      <x:c r="F13" s="19" t="n">
        <x:f>SUM(D23:D24)</x:f>
        <x:v>3</x:v>
      </x:c>
      <x:c r="G13" s="19" t="str"/>
      <x:c r="H13" s="19" t="n">
        <x:f>SUM(E23:E24)</x:f>
        <x:v>6</x:v>
      </x:c>
      <x:c r="I13" s="19" t="str"/>
      <x:c r="J13" s="19" t="n">
        <x:f>SUM(F23:F24)</x:f>
        <x:v>8</x:v>
      </x:c>
      <x:c r="K13" s="19" t="str"/>
      <x:c r="L13" s="19" t="n">
        <x:f>SUM(G23:G24)</x:f>
        <x:v>3</x:v>
      </x:c>
      <x:c r="M13" s="19" t="str"/>
      <x:c r="N13" s="1"/>
    </x:row>
    <x:row r="14" ht="24" customHeight="1">
      <x:c r="A14" s="1"/>
      <x:c r="B14" s="2" t="str">
        <x:v>Поступило, переходов</x:v>
      </x:c>
      <x:c r="C14" s="2" t="str">
        <x:v>Поступило, переходов</x:v>
      </x:c>
      <x:c r="D14" s="5" t="n">
        <x:v>15</x:v>
      </x:c>
      <x:c r="E14" s="5" t="n">
        <x:v>15</x:v>
      </x:c>
      <x:c r="F14" s="5" t="n">
        <x:v>13</x:v>
      </x:c>
      <x:c r="G14" s="5" t="n">
        <x:v>13</x:v>
      </x:c>
      <x:c r="H14" s="5" t="n">
        <x:v>11</x:v>
      </x:c>
      <x:c r="I14" s="5" t="n">
        <x:v>11</x:v>
      </x:c>
      <x:c r="J14" s="5" t="n">
        <x:v>10</x:v>
      </x:c>
      <x:c r="K14" s="5" t="n">
        <x:v>10</x:v>
      </x:c>
      <x:c r="L14" s="5" t="n">
        <x:v>8</x:v>
      </x:c>
      <x:c r="M14" s="5" t="n">
        <x:v>8</x:v>
      </x:c>
      <x:c r="N14" s="1"/>
    </x:row>
    <x:row r="15" ht="24" customHeight="1">
      <x:c r="A15" s="1"/>
      <x:c r="B15" s="2" t="str">
        <x:v>Вышло, переходов</x:v>
      </x:c>
      <x:c r="C15" s="2" t="str">
        <x:v>Вышло, переходов</x:v>
      </x:c>
      <x:c r="D15" s="5" t="n">
        <x:v>12</x:v>
      </x:c>
      <x:c r="E15" s="5" t="n">
        <x:v>12</x:v>
      </x:c>
      <x:c r="F15" s="5" t="n">
        <x:v>11</x:v>
      </x:c>
      <x:c r="G15" s="5" t="n">
        <x:v>11</x:v>
      </x:c>
      <x:c r="H15" s="5" t="n">
        <x:v>8</x:v>
      </x:c>
      <x:c r="I15" s="5" t="n">
        <x:v>8</x:v>
      </x:c>
      <x:c r="J15" s="5" t="n">
        <x:v>8</x:v>
      </x:c>
      <x:c r="K15" s="5" t="n">
        <x:v>8</x:v>
      </x:c>
      <x:c r="L15" s="5" t="n">
        <x:v>6</x:v>
      </x:c>
      <x:c r="M15" s="5" t="n">
        <x:v>6</x:v>
      </x:c>
      <x:c r="N15" s="1"/>
    </x:row>
    <x:row r="16" ht="24" customHeight="1">
      <x:c r="A16" s="1"/>
      <x:c r="B16" s="2" t="str">
        <x:v>Макс. на этапе, дней</x:v>
      </x:c>
      <x:c r="C16" s="2" t="str">
        <x:v>Макс. на этапе, дней</x:v>
      </x:c>
      <x:c r="D16" s="5" t="n">
        <x:v>2</x:v>
      </x:c>
      <x:c r="E16" s="5" t="n">
        <x:v>2</x:v>
      </x:c>
      <x:c r="F16" s="5" t="n">
        <x:v>1</x:v>
      </x:c>
      <x:c r="G16" s="5" t="n">
        <x:v>1</x:v>
      </x:c>
      <x:c r="H16" s="5" t="n">
        <x:v>3</x:v>
      </x:c>
      <x:c r="I16" s="5" t="n">
        <x:v>3</x:v>
      </x:c>
      <x:c r="J16" s="5" t="n">
        <x:v>5</x:v>
      </x:c>
      <x:c r="K16" s="5" t="n">
        <x:v>5</x:v>
      </x:c>
      <x:c r="L16" s="5" t="n">
        <x:v>4</x:v>
      </x:c>
      <x:c r="M16" s="5" t="n">
        <x:v>4</x:v>
      </x:c>
      <x:c r="N16" s="1"/>
    </x:row>
    <x:row r="17" ht="24" customHeight="1">
      <x:c r="A17" s="1"/>
      <x:c r="B17" s="2" t="str">
        <x:v>Просрочено, заявок</x:v>
      </x:c>
      <x:c r="C17" s="2" t="str">
        <x:v>Просрочено, заявок</x:v>
      </x:c>
      <x:c r="D17" s="2" t="n">
        <x:f>SUM(C44:C45)</x:f>
        <x:v>1</x:v>
      </x:c>
      <x:c r="E17" s="2" t="str"/>
      <x:c r="F17" s="2" t="n">
        <x:f>SUM(D44:D45)</x:f>
        <x:v>0</x:v>
      </x:c>
      <x:c r="G17" s="2" t="str"/>
      <x:c r="H17" s="2" t="n">
        <x:f>SUM(E44:E45)</x:f>
        <x:v>1</x:v>
      </x:c>
      <x:c r="I17" s="2" t="str"/>
      <x:c r="J17" s="2" t="n">
        <x:f>SUM(F44:F45)</x:f>
        <x:v>2</x:v>
      </x:c>
      <x:c r="K17" s="2" t="str"/>
      <x:c r="L17" s="2" t="n">
        <x:f>SUM(G44:G45)</x:f>
        <x:v>0</x:v>
      </x:c>
      <x:c r="M17" s="2" t="str"/>
      <x:c r="N17" s="1"/>
    </x:row>
    <x:row r="18" ht="24" customHeight="1">
      <x:c r="A18" s="1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1"/>
    </x:row>
    <x:row r="19" ht="24" customHeight="1">
      <x:c r="A19" s="1"/>
      <x:c r="B19" s="7" t="str">
        <x:v>Движение и длительность этапов вводятся за указанный период; входы и выходы — события, не уникальные заявки.</x:v>
      </x:c>
      <x:c r="C19" s="7" t="str">
        <x:v>Движение и длительность этапов вводятся за указанный период; входы и выходы — события, не уникальные заявки.</x:v>
      </x:c>
      <x:c r="D19" s="7" t="str">
        <x:v>Движение и длительность этапов вводятся за указанный период; входы и выходы — события, не уникальные заявки.</x:v>
      </x:c>
      <x:c r="E19" s="7" t="str">
        <x:v>Движение и длительность этапов вводятся за указанный период; входы и выходы — события, не уникальные заявки.</x:v>
      </x:c>
      <x:c r="F19" s="7" t="str">
        <x:v>Движение и длительность этапов вводятся за указанный период; входы и выходы — события, не уникальные заявки.</x:v>
      </x:c>
      <x:c r="G19" s="7" t="str">
        <x:v>Движение и длительность этапов вводятся за указанный период; входы и выходы — события, не уникальные заявки.</x:v>
      </x:c>
      <x:c r="H19" s="7" t="str">
        <x:v>Движение и длительность этапов вводятся за указанный период; входы и выходы — события, не уникальные заявки.</x:v>
      </x:c>
      <x:c r="I19" s="7" t="str">
        <x:v>Движение и длительность этапов вводятся за указанный период; входы и выходы — события, не уникальные заявки.</x:v>
      </x:c>
      <x:c r="J19" s="7" t="str">
        <x:v>Движение и длительность этапов вводятся за указанный период; входы и выходы — события, не уникальные заявки.</x:v>
      </x:c>
      <x:c r="K19" s="7" t="str">
        <x:v>Движение и длительность этапов вводятся за указанный период; входы и выходы — события, не уникальные заявки.</x:v>
      </x:c>
      <x:c r="L19" s="7" t="str">
        <x:v>Движение и длительность этапов вводятся за указанный период; входы и выходы — события, не уникальные заявки.</x:v>
      </x:c>
      <x:c r="M19" s="7" t="str">
        <x:v>Движение и длительность этапов вводятся за указанный период; входы и выходы — события, не уникальные заявки.</x:v>
      </x:c>
      <x:c r="N19" s="1"/>
    </x:row>
    <x:row r="20" ht="24" customHeight="1">
      <x:c r="A20" s="1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1"/>
    </x:row>
    <x:row r="21" ht="24" customHeight="1">
      <x:c r="A21" s="1"/>
      <x:c r="B21" s="17" t="str">
        <x:v>ОЧЕРЕДЬ ПО СОТРУДНИКАМ</x:v>
      </x:c>
      <x:c r="C21" s="17" t="str">
        <x:v>ОЧЕРЕДЬ ПО СОТРУДНИКАМ</x:v>
      </x:c>
      <x:c r="D21" s="17" t="str">
        <x:v>ОЧЕРЕДЬ ПО СОТРУДНИКАМ</x:v>
      </x:c>
      <x:c r="E21" s="17" t="str">
        <x:v>ОЧЕРЕДЬ ПО СОТРУДНИКАМ</x:v>
      </x:c>
      <x:c r="F21" s="17" t="str">
        <x:v>ОЧЕРЕДЬ ПО СОТРУДНИКАМ</x:v>
      </x:c>
      <x:c r="G21" s="17" t="str">
        <x:v>ОЧЕРЕДЬ ПО СОТРУДНИКАМ</x:v>
      </x:c>
      <x:c r="H21" s="17" t="str">
        <x:v>ОЧЕРЕДЬ ПО СОТРУДНИКАМ</x:v>
      </x:c>
      <x:c r="I21" s="17" t="str">
        <x:v>ОЧЕРЕДЬ ПО СОТРУДНИКАМ</x:v>
      </x:c>
      <x:c r="J21" s="17" t="str">
        <x:v>ОЧЕРЕДЬ ПО СОТРУДНИКАМ</x:v>
      </x:c>
      <x:c r="K21" s="17" t="str">
        <x:v>ОЧЕРЕДЬ ПО СОТРУДНИКАМ</x:v>
      </x:c>
      <x:c r="L21" s="17" t="str">
        <x:v>ОЧЕРЕДЬ ПО СОТРУДНИКАМ</x:v>
      </x:c>
      <x:c r="M21" s="17" t="str">
        <x:v>ОЧЕРЕДЬ ПО СОТРУДНИКАМ</x:v>
      </x:c>
      <x:c r="N21" s="1"/>
    </x:row>
    <x:row r="22" ht="58" customHeight="1">
      <x:c r="A22" s="1"/>
      <x:c r="B22" s="17" t="str">
        <x:v>Сотрудник</x:v>
      </x:c>
      <x:c r="C22" s="17" t="str">
        <x:v>На расчёте</x:v>
      </x:c>
      <x:c r="D22" s="17" t="str">
        <x:v>На согласовании</x:v>
      </x:c>
      <x:c r="E22" s="17" t="str">
        <x:v>Подготовка отгрузки</x:v>
      </x:c>
      <x:c r="F22" s="17" t="str">
        <x:v>В пути</x:v>
      </x:c>
      <x:c r="G22" s="17" t="str">
        <x:v>Доставлено, не закрыто</x:v>
      </x:c>
      <x:c r="H22" s="17" t="str">
        <x:v>Просрочено</x:v>
      </x:c>
      <x:c r="I22" s="17" t="str">
        <x:v>Всего</x:v>
      </x:c>
      <x:c r="J22" s="2"/>
      <x:c r="K22" s="2"/>
      <x:c r="L22" s="2"/>
      <x:c r="M22" s="2"/>
      <x:c r="N22" s="1"/>
    </x:row>
    <x:row r="23" ht="24" customHeight="1">
      <x:c r="A23" s="1"/>
      <x:c r="B23" s="5" t="str">
        <x:v>Логист 1</x:v>
      </x:c>
      <x:c r="C23" s="25" t="n">
        <x:v>3</x:v>
      </x:c>
      <x:c r="D23" s="25" t="n">
        <x:v>2</x:v>
      </x:c>
      <x:c r="E23" s="25" t="n">
        <x:v>4</x:v>
      </x:c>
      <x:c r="F23" s="25" t="n">
        <x:v>5</x:v>
      </x:c>
      <x:c r="G23" s="25" t="n">
        <x:v>2</x:v>
      </x:c>
      <x:c r="H23" s="2" t="n">
        <x:f>SUM(C44:G44)</x:f>
        <x:v>3</x:v>
      </x:c>
      <x:c r="I23" s="2" t="n">
        <x:f>SUM(C23:G23)</x:f>
        <x:v>16</x:v>
      </x:c>
      <x:c r="J23" s="2"/>
      <x:c r="K23" s="2"/>
      <x:c r="L23" s="2"/>
      <x:c r="M23" s="2"/>
      <x:c r="N23" s="1"/>
    </x:row>
    <x:row r="24" ht="24" customHeight="1">
      <x:c r="A24" s="1"/>
      <x:c r="B24" s="5" t="str">
        <x:v>Логист 2</x:v>
      </x:c>
      <x:c r="C24" s="25" t="n">
        <x:v>2</x:v>
      </x:c>
      <x:c r="D24" s="25" t="n">
        <x:v>1</x:v>
      </x:c>
      <x:c r="E24" s="25" t="n">
        <x:v>2</x:v>
      </x:c>
      <x:c r="F24" s="25" t="n">
        <x:v>3</x:v>
      </x:c>
      <x:c r="G24" s="25" t="n">
        <x:v>1</x:v>
      </x:c>
      <x:c r="H24" s="2" t="n">
        <x:f>SUM(C45:G45)</x:f>
        <x:v>1</x:v>
      </x:c>
      <x:c r="I24" s="2" t="n">
        <x:f>SUM(C24:G24)</x:f>
        <x:v>9</x:v>
      </x:c>
      <x:c r="J24" s="2"/>
      <x:c r="K24" s="2"/>
      <x:c r="L24" s="2"/>
      <x:c r="M24" s="2"/>
      <x:c r="N24" s="1"/>
    </x:row>
    <x:row r="25" ht="24" customHeight="1">
      <x:c r="A25" s="1"/>
      <x:c r="B25" s="9" t="str">
        <x:v>Итого</x:v>
      </x:c>
      <x:c r="C25" s="9" t="n">
        <x:f>SUM(C23:C24)</x:f>
        <x:v>5</x:v>
      </x:c>
      <x:c r="D25" s="9" t="n">
        <x:f>SUM(D23:D24)</x:f>
        <x:v>3</x:v>
      </x:c>
      <x:c r="E25" s="9" t="n">
        <x:f>SUM(E23:E24)</x:f>
        <x:v>6</x:v>
      </x:c>
      <x:c r="F25" s="9" t="n">
        <x:f>SUM(F23:F24)</x:f>
        <x:v>8</x:v>
      </x:c>
      <x:c r="G25" s="9" t="n">
        <x:f>SUM(G23:G24)</x:f>
        <x:v>3</x:v>
      </x:c>
      <x:c r="H25" s="9" t="n">
        <x:f>SUM(H23:H24)</x:f>
        <x:v>4</x:v>
      </x:c>
      <x:c r="I25" s="9" t="n">
        <x:f>SUM(I23:I24)</x:f>
        <x:v>25</x:v>
      </x:c>
      <x:c r="J25" s="2"/>
      <x:c r="K25" s="2"/>
      <x:c r="L25" s="2"/>
      <x:c r="M25" s="2"/>
      <x:c r="N25" s="1"/>
    </x:row>
    <x:row r="26" ht="24" customHeight="1">
      <x:c r="A26" s="1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1"/>
    </x:row>
    <x:row r="27" ht="24" customHeight="1">
      <x:c r="A27" s="1"/>
      <x:c r="B27" s="17" t="str">
        <x:v>ЗАКАЗЫ И ПЕРЕВОЗКИ — ПРИМЕР РЕЕСТРА</x:v>
      </x:c>
      <x:c r="C27" s="17" t="str">
        <x:v>ЗАКАЗЫ И ПЕРЕВОЗКИ — ПРИМЕР РЕЕСТРА</x:v>
      </x:c>
      <x:c r="D27" s="17" t="str">
        <x:v>ЗАКАЗЫ И ПЕРЕВОЗКИ — ПРИМЕР РЕЕСТРА</x:v>
      </x:c>
      <x:c r="E27" s="17" t="str">
        <x:v>ЗАКАЗЫ И ПЕРЕВОЗКИ — ПРИМЕР РЕЕСТРА</x:v>
      </x:c>
      <x:c r="F27" s="17" t="str">
        <x:v>ЗАКАЗЫ И ПЕРЕВОЗКИ — ПРИМЕР РЕЕСТРА</x:v>
      </x:c>
      <x:c r="G27" s="17" t="str">
        <x:v>ЗАКАЗЫ И ПЕРЕВОЗКИ — ПРИМЕР РЕЕСТРА</x:v>
      </x:c>
      <x:c r="H27" s="17" t="str">
        <x:v>ЗАКАЗЫ И ПЕРЕВОЗКИ — ПРИМЕР РЕЕСТРА</x:v>
      </x:c>
      <x:c r="I27" s="17" t="str">
        <x:v>ЗАКАЗЫ И ПЕРЕВОЗКИ — ПРИМЕР РЕЕСТРА</x:v>
      </x:c>
      <x:c r="J27" s="17" t="str">
        <x:v>ЗАКАЗЫ И ПЕРЕВОЗКИ — ПРИМЕР РЕЕСТРА</x:v>
      </x:c>
      <x:c r="K27" s="17" t="str">
        <x:v>ЗАКАЗЫ И ПЕРЕВОЗКИ — ПРИМЕР РЕЕСТРА</x:v>
      </x:c>
      <x:c r="L27" s="17" t="str">
        <x:v>ЗАКАЗЫ И ПЕРЕВОЗКИ — ПРИМЕР РЕЕСТРА</x:v>
      </x:c>
      <x:c r="M27" s="17" t="str">
        <x:v>ЗАКАЗЫ И ПЕРЕВОЗКИ — ПРИМЕР РЕЕСТРА</x:v>
      </x:c>
      <x:c r="N27" s="1"/>
    </x:row>
    <x:row r="28" ht="24" customHeight="1">
      <x:c r="A28" s="1"/>
      <x:c r="B28" s="7" t="str">
        <x:v>Фрагмент реестра не является источником итогов сверху. Итоги связаны с редактируемыми сводными данными.</x:v>
      </x:c>
      <x:c r="C28" s="7" t="str">
        <x:v>Фрагмент реестра не является источником итогов сверху. Итоги связаны с редактируемыми сводными данными.</x:v>
      </x:c>
      <x:c r="D28" s="7" t="str">
        <x:v>Фрагмент реестра не является источником итогов сверху. Итоги связаны с редактируемыми сводными данными.</x:v>
      </x:c>
      <x:c r="E28" s="7" t="str">
        <x:v>Фрагмент реестра не является источником итогов сверху. Итоги связаны с редактируемыми сводными данными.</x:v>
      </x:c>
      <x:c r="F28" s="7" t="str">
        <x:v>Фрагмент реестра не является источником итогов сверху. Итоги связаны с редактируемыми сводными данными.</x:v>
      </x:c>
      <x:c r="G28" s="7" t="str">
        <x:v>Фрагмент реестра не является источником итогов сверху. Итоги связаны с редактируемыми сводными данными.</x:v>
      </x:c>
      <x:c r="H28" s="7" t="str">
        <x:v>Фрагмент реестра не является источником итогов сверху. Итоги связаны с редактируемыми сводными данными.</x:v>
      </x:c>
      <x:c r="I28" s="7" t="str">
        <x:v>Фрагмент реестра не является источником итогов сверху. Итоги связаны с редактируемыми сводными данными.</x:v>
      </x:c>
      <x:c r="J28" s="7" t="str">
        <x:v>Фрагмент реестра не является источником итогов сверху. Итоги связаны с редактируемыми сводными данными.</x:v>
      </x:c>
      <x:c r="K28" s="7" t="str">
        <x:v>Фрагмент реестра не является источником итогов сверху. Итоги связаны с редактируемыми сводными данными.</x:v>
      </x:c>
      <x:c r="L28" s="7" t="str">
        <x:v>Фрагмент реестра не является источником итогов сверху. Итоги связаны с редактируемыми сводными данными.</x:v>
      </x:c>
      <x:c r="M28" s="7" t="str">
        <x:v>Фрагмент реестра не является источником итогов сверху. Итоги связаны с редактируемыми сводными данными.</x:v>
      </x:c>
      <x:c r="N28" s="1"/>
    </x:row>
    <x:row r="29" ht="42" customHeight="1">
      <x:c r="A29" s="1"/>
      <x:c r="B29" s="17" t="str">
        <x:v>Перевозка</x:v>
      </x:c>
      <x:c r="C29" s="17" t="str">
        <x:v>Маршрут</x:v>
      </x:c>
      <x:c r="D29" s="17" t="str">
        <x:v>Сотрудник</x:v>
      </x:c>
      <x:c r="E29" s="17" t="str">
        <x:v>План, ₽</x:v>
      </x:c>
      <x:c r="F29" s="17" t="str">
        <x:v>Факт, ₽</x:v>
      </x:c>
      <x:c r="G29" s="17" t="str">
        <x:v>Доставка план</x:v>
      </x:c>
      <x:c r="H29" s="17" t="str">
        <x:v>Доставка факт</x:v>
      </x:c>
      <x:c r="I29" s="17" t="str">
        <x:v>Просрочка, дн.</x:v>
      </x:c>
      <x:c r="J29" s="2"/>
      <x:c r="K29" s="2"/>
      <x:c r="L29" s="2"/>
      <x:c r="M29" s="2"/>
      <x:c r="N29" s="1"/>
    </x:row>
    <x:row r="30" ht="40" customHeight="1">
      <x:c r="A30" s="1"/>
      <x:c r="B30" s="21" t="str">
        <x:v>ЛГ-0281</x:v>
      </x:c>
      <x:c r="C30" s="21" t="str">
        <x:v>Муром → Пермь</x:v>
      </x:c>
      <x:c r="D30" s="21" t="str">
        <x:v>Логист 1</x:v>
      </x:c>
      <x:c r="E30" s="22" t="n">
        <x:v>180000</x:v>
      </x:c>
      <x:c r="F30" s="22" t="n">
        <x:v>180000</x:v>
      </x:c>
      <x:c r="G30" s="23" t="n">
        <x:v>46314</x:v>
      </x:c>
      <x:c r="H30" s="23"/>
      <x:c r="I30" s="24" t="n">
        <x:f>IF(G30="","Нет даты",MAX(0,IF(H30="",$L$4,H30)-G30))</x:f>
        <x:v>2</x:v>
      </x:c>
      <x:c r="J30" s="2"/>
      <x:c r="K30" s="2"/>
      <x:c r="L30" s="2"/>
      <x:c r="M30" s="2"/>
      <x:c r="N30" s="1"/>
    </x:row>
    <x:row r="31" ht="40" customHeight="1">
      <x:c r="A31" s="1"/>
      <x:c r="B31" s="21" t="str">
        <x:v>ЛГ-0284</x:v>
      </x:c>
      <x:c r="C31" s="21" t="str">
        <x:v>Уфа → Пермь</x:v>
      </x:c>
      <x:c r="D31" s="21" t="str">
        <x:v>Логист 2</x:v>
      </x:c>
      <x:c r="E31" s="22" t="n">
        <x:v>95000</x:v>
      </x:c>
      <x:c r="F31" s="22" t="n">
        <x:v>102000</x:v>
      </x:c>
      <x:c r="G31" s="23" t="n">
        <x:v>46315</x:v>
      </x:c>
      <x:c r="H31" s="23"/>
      <x:c r="I31" s="24" t="n">
        <x:f>IF(G31="","Нет даты",MAX(0,IF(H31="",$L$4,H31)-G31))</x:f>
        <x:v>1</x:v>
      </x:c>
      <x:c r="J31" s="2"/>
      <x:c r="K31" s="2"/>
      <x:c r="L31" s="2"/>
      <x:c r="M31" s="2"/>
      <x:c r="N31" s="1"/>
    </x:row>
    <x:row r="32" ht="40" customHeight="1">
      <x:c r="A32" s="1"/>
      <x:c r="B32" s="21" t="str">
        <x:v>ЛГ-0290</x:v>
      </x:c>
      <x:c r="C32" s="21" t="str">
        <x:v>Пермь → Березники</x:v>
      </x:c>
      <x:c r="D32" s="21" t="str">
        <x:v>Логист 1</x:v>
      </x:c>
      <x:c r="E32" s="22" t="n">
        <x:v>42000</x:v>
      </x:c>
      <x:c r="F32" s="22"/>
      <x:c r="G32" s="23" t="n">
        <x:v>46316</x:v>
      </x:c>
      <x:c r="H32" s="23"/>
      <x:c r="I32" s="24" t="n">
        <x:f>IF(G32="","Нет даты",MAX(0,IF(H32="",$L$4,H32)-G32))</x:f>
        <x:v>0</x:v>
      </x:c>
      <x:c r="J32" s="2"/>
      <x:c r="K32" s="2"/>
      <x:c r="L32" s="2"/>
      <x:c r="M32" s="2"/>
      <x:c r="N32" s="1"/>
    </x:row>
    <x:row r="33" ht="24" customHeight="1">
      <x:c r="A33" s="1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1"/>
    </x:row>
    <x:row r="34" ht="24" customHeight="1">
      <x:c r="A34" s="1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1"/>
    </x:row>
    <x:row r="35" ht="24" customHeight="1">
      <x:c r="A35" s="1"/>
      <x:c r="B35" s="17" t="str">
        <x:v>ДАННЫЕ ДЛЯ РЕДАКТИРОВАНИЯ</x:v>
      </x:c>
      <x:c r="C35" s="17" t="str">
        <x:v>ДАННЫЕ ДЛЯ РЕДАКТИРОВАНИЯ</x:v>
      </x:c>
      <x:c r="D35" s="17" t="str">
        <x:v>ДАННЫЕ ДЛЯ РЕДАКТИРОВАНИЯ</x:v>
      </x:c>
      <x:c r="E35" s="17" t="str">
        <x:v>ДАННЫЕ ДЛЯ РЕДАКТИРОВАНИЯ</x:v>
      </x:c>
      <x:c r="F35" s="17" t="str">
        <x:v>ДАННЫЕ ДЛЯ РЕДАКТИРОВАНИЯ</x:v>
      </x:c>
      <x:c r="G35" s="17" t="str">
        <x:v>ДАННЫЕ ДЛЯ РЕДАКТИРОВАНИЯ</x:v>
      </x:c>
      <x:c r="H35" s="17" t="str">
        <x:v>ДАННЫЕ ДЛЯ РЕДАКТИРОВАНИЯ</x:v>
      </x:c>
      <x:c r="I35" s="17" t="str">
        <x:v>ДАННЫЕ ДЛЯ РЕДАКТИРОВАНИЯ</x:v>
      </x:c>
      <x:c r="J35" s="17" t="str">
        <x:v>ДАННЫЕ ДЛЯ РЕДАКТИРОВАНИЯ</x:v>
      </x:c>
      <x:c r="K35" s="17" t="str">
        <x:v>ДАННЫЕ ДЛЯ РЕДАКТИРОВАНИЯ</x:v>
      </x:c>
      <x:c r="L35" s="17" t="str">
        <x:v>ДАННЫЕ ДЛЯ РЕДАКТИРОВАНИЯ</x:v>
      </x:c>
      <x:c r="M35" s="17" t="str">
        <x:v>ДАННЫЕ ДЛЯ РЕДАКТИРОВАНИЯ</x:v>
      </x:c>
      <x:c r="N35" s="1"/>
    </x:row>
    <x:row r="36" ht="24" customHeight="1">
      <x:c r="A36" s="1"/>
      <x:c r="B36" s="2" t="str">
        <x:v>Источник примеров — визуализация из чата. Заменяйте значения в жёлтых ячейках; формулы пересчитают панель.</x:v>
      </x:c>
      <x:c r="C36" s="2" t="str">
        <x:v>Источник примеров — визуализация из чата. Заменяйте значения в жёлтых ячейках; формулы пересчитают панель.</x:v>
      </x:c>
      <x:c r="D36" s="2" t="str">
        <x:v>Источник примеров — визуализация из чата. Заменяйте значения в жёлтых ячейках; формулы пересчитают панель.</x:v>
      </x:c>
      <x:c r="E36" s="2" t="str">
        <x:v>Источник примеров — визуализация из чата. Заменяйте значения в жёлтых ячейках; формулы пересчитают панель.</x:v>
      </x:c>
      <x:c r="F36" s="2" t="str">
        <x:v>Источник примеров — визуализация из чата. Заменяйте значения в жёлтых ячейках; формулы пересчитают панель.</x:v>
      </x:c>
      <x:c r="G36" s="2" t="str">
        <x:v>Источник примеров — визуализация из чата. Заменяйте значения в жёлтых ячейках; формулы пересчитают панель.</x:v>
      </x:c>
      <x:c r="H36" s="2" t="str">
        <x:v>Источник примеров — визуализация из чата. Заменяйте значения в жёлтых ячейках; формулы пересчитают панель.</x:v>
      </x:c>
      <x:c r="I36" s="2" t="str">
        <x:v>Источник примеров — визуализация из чата. Заменяйте значения в жёлтых ячейках; формулы пересчитают панель.</x:v>
      </x:c>
      <x:c r="J36" s="2" t="str">
        <x:v>Источник примеров — визуализация из чата. Заменяйте значения в жёлтых ячейках; формулы пересчитают панель.</x:v>
      </x:c>
      <x:c r="K36" s="2" t="str">
        <x:v>Источник примеров — визуализация из чата. Заменяйте значения в жёлтых ячейках; формулы пересчитают панель.</x:v>
      </x:c>
      <x:c r="L36" s="2" t="str">
        <x:v>Источник примеров — визуализация из чата. Заменяйте значения в жёлтых ячейках; формулы пересчитают панель.</x:v>
      </x:c>
      <x:c r="M36" s="2" t="str">
        <x:v>Источник примеров — визуализация из чата. Заменяйте значения в жёлтых ячейках; формулы пересчитают панель.</x:v>
      </x:c>
      <x:c r="N36" s="1"/>
    </x:row>
    <x:row r="37" ht="24" customHeight="1">
      <x:c r="A37" s="1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1"/>
    </x:row>
    <x:row r="38" ht="44" customHeight="1">
      <x:c r="A38" s="1"/>
      <x:c r="B38" s="17" t="str">
        <x:v>Сотрудник</x:v>
      </x:c>
      <x:c r="C38" s="17" t="str">
        <x:v>Сотрудник</x:v>
      </x:c>
      <x:c r="D38" s="17" t="str">
        <x:v>Отгрузка сегодня</x:v>
      </x:c>
      <x:c r="E38" s="17" t="str">
        <x:v>Доставка сегодня</x:v>
      </x:c>
      <x:c r="F38" s="17" t="str">
        <x:v>Резерв</x:v>
      </x:c>
      <x:c r="G38" s="2"/>
      <x:c r="H38" s="2"/>
      <x:c r="I38" s="2"/>
      <x:c r="J38" s="2"/>
      <x:c r="K38" s="2"/>
      <x:c r="L38" s="2"/>
      <x:c r="M38" s="2"/>
      <x:c r="N38" s="1"/>
    </x:row>
    <x:row r="39" ht="24" customHeight="1">
      <x:c r="A39" s="1"/>
      <x:c r="B39" s="2" t="str">
        <x:f>B23</x:f>
        <x:v>Логист 1</x:v>
      </x:c>
      <x:c r="C39" s="2" t="str"/>
      <x:c r="D39" s="5" t="n">
        <x:v>3</x:v>
      </x:c>
      <x:c r="E39" s="5" t="n">
        <x:v>2</x:v>
      </x:c>
      <x:c r="F39" s="5" t="n">
        <x:v>0</x:v>
      </x:c>
      <x:c r="G39" s="2"/>
      <x:c r="H39" s="2"/>
      <x:c r="I39" s="2"/>
      <x:c r="J39" s="2"/>
      <x:c r="K39" s="2"/>
      <x:c r="L39" s="2"/>
      <x:c r="M39" s="2"/>
      <x:c r="N39" s="1"/>
    </x:row>
    <x:row r="40" ht="24" customHeight="1">
      <x:c r="A40" s="1"/>
      <x:c r="B40" s="2" t="str">
        <x:f>B24</x:f>
        <x:v>Логист 2</x:v>
      </x:c>
      <x:c r="C40" s="2" t="str"/>
      <x:c r="D40" s="5" t="n">
        <x:v>2</x:v>
      </x:c>
      <x:c r="E40" s="5" t="n">
        <x:v>2</x:v>
      </x:c>
      <x:c r="F40" s="5" t="n">
        <x:v>0</x:v>
      </x:c>
      <x:c r="G40" s="2"/>
      <x:c r="H40" s="2"/>
      <x:c r="I40" s="2"/>
      <x:c r="J40" s="2"/>
      <x:c r="K40" s="2"/>
      <x:c r="L40" s="2"/>
      <x:c r="M40" s="2"/>
      <x:c r="N40" s="1"/>
    </x:row>
    <x:row r="41" ht="24" customHeight="1">
      <x:c r="A41" s="1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1"/>
    </x:row>
    <x:row r="42" ht="24" customHeight="1">
      <x:c r="A42" s="1"/>
      <x:c r="B42" s="2" t="str">
        <x:v>Просроченные заявки по текущему этапу. Одна заявка учитывается только на одном этапе.</x:v>
      </x:c>
      <x:c r="C42" s="2" t="str">
        <x:v>Просроченные заявки по текущему этапу. Одна заявка учитывается только на одном этапе.</x:v>
      </x:c>
      <x:c r="D42" s="2" t="str">
        <x:v>Просроченные заявки по текущему этапу. Одна заявка учитывается только на одном этапе.</x:v>
      </x:c>
      <x:c r="E42" s="2" t="str">
        <x:v>Просроченные заявки по текущему этапу. Одна заявка учитывается только на одном этапе.</x:v>
      </x:c>
      <x:c r="F42" s="2" t="str">
        <x:v>Просроченные заявки по текущему этапу. Одна заявка учитывается только на одном этапе.</x:v>
      </x:c>
      <x:c r="G42" s="2" t="str">
        <x:v>Просроченные заявки по текущему этапу. Одна заявка учитывается только на одном этапе.</x:v>
      </x:c>
      <x:c r="H42" s="2" t="str">
        <x:v>Просроченные заявки по текущему этапу. Одна заявка учитывается только на одном этапе.</x:v>
      </x:c>
      <x:c r="I42" s="2" t="str">
        <x:v>Просроченные заявки по текущему этапу. Одна заявка учитывается только на одном этапе.</x:v>
      </x:c>
      <x:c r="J42" s="2" t="str">
        <x:v>Просроченные заявки по текущему этапу. Одна заявка учитывается только на одном этапе.</x:v>
      </x:c>
      <x:c r="K42" s="2" t="str">
        <x:v>Просроченные заявки по текущему этапу. Одна заявка учитывается только на одном этапе.</x:v>
      </x:c>
      <x:c r="L42" s="2" t="str">
        <x:v>Просроченные заявки по текущему этапу. Одна заявка учитывается только на одном этапе.</x:v>
      </x:c>
      <x:c r="M42" s="2" t="str">
        <x:v>Просроченные заявки по текущему этапу. Одна заявка учитывается только на одном этапе.</x:v>
      </x:c>
      <x:c r="N42" s="1"/>
    </x:row>
    <x:row r="43" ht="58" customHeight="1">
      <x:c r="A43" s="1"/>
      <x:c r="B43" s="17" t="str">
        <x:v>Сотрудник</x:v>
      </x:c>
      <x:c r="C43" s="17" t="str">
        <x:v>На расчёте</x:v>
      </x:c>
      <x:c r="D43" s="17" t="str">
        <x:v>На согласовании</x:v>
      </x:c>
      <x:c r="E43" s="17" t="str">
        <x:v>Подготовка отгрузки</x:v>
      </x:c>
      <x:c r="F43" s="17" t="str">
        <x:v>В пути</x:v>
      </x:c>
      <x:c r="G43" s="17" t="str">
        <x:v>Доставлено, не закрыто</x:v>
      </x:c>
      <x:c r="H43" s="2"/>
      <x:c r="I43" s="2"/>
      <x:c r="J43" s="2"/>
      <x:c r="K43" s="2"/>
      <x:c r="L43" s="2"/>
      <x:c r="M43" s="2"/>
      <x:c r="N43" s="1"/>
    </x:row>
    <x:row r="44" ht="24" customHeight="1">
      <x:c r="A44" s="1"/>
      <x:c r="B44" s="2" t="str">
        <x:f>B23</x:f>
        <x:v>Логист 1</x:v>
      </x:c>
      <x:c r="C44" s="25" t="n">
        <x:v>1</x:v>
      </x:c>
      <x:c r="D44" s="25" t="n">
        <x:v>0</x:v>
      </x:c>
      <x:c r="E44" s="25" t="n">
        <x:v>1</x:v>
      </x:c>
      <x:c r="F44" s="25" t="n">
        <x:v>1</x:v>
      </x:c>
      <x:c r="G44" s="25" t="n">
        <x:v>0</x:v>
      </x:c>
      <x:c r="H44" s="2"/>
      <x:c r="I44" s="2"/>
      <x:c r="J44" s="2"/>
      <x:c r="K44" s="2"/>
      <x:c r="L44" s="2"/>
      <x:c r="M44" s="2"/>
      <x:c r="N44" s="1"/>
    </x:row>
    <x:row r="45" ht="24" customHeight="1">
      <x:c r="A45" s="1"/>
      <x:c r="B45" s="2" t="str">
        <x:f>B24</x:f>
        <x:v>Логист 2</x:v>
      </x:c>
      <x:c r="C45" s="25" t="n">
        <x:v>0</x:v>
      </x:c>
      <x:c r="D45" s="25" t="n">
        <x:v>0</x:v>
      </x:c>
      <x:c r="E45" s="25" t="n">
        <x:v>0</x:v>
      </x:c>
      <x:c r="F45" s="25" t="n">
        <x:v>1</x:v>
      </x:c>
      <x:c r="G45" s="25" t="n">
        <x:v>0</x:v>
      </x:c>
      <x:c r="H45" s="2"/>
      <x:c r="I45" s="2"/>
      <x:c r="J45" s="2"/>
      <x:c r="K45" s="2"/>
      <x:c r="L45" s="2"/>
      <x:c r="M45" s="2"/>
      <x:c r="N45" s="1"/>
    </x:row>
    <x:row r="46" ht="24" customHeight="1">
      <x:c r="A46" s="1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1"/>
    </x:row>
    <x:row r="47" ht="24" customHeight="1">
      <x:c r="A47" s="1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1"/>
    </x:row>
    <x:row r="48" ht="24" customHeight="1">
      <x:c r="A48" s="1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1"/>
    </x:row>
  </x:sheetData>
  <x:mergeCells>
    <x:mergeCell ref="B2:M2"/>
    <x:mergeCell ref="B3:M3"/>
    <x:mergeCell ref="B4:H4"/>
    <x:mergeCell ref="I4:K4"/>
    <x:mergeCell ref="L4:M4"/>
    <x:mergeCell ref="B5:M5"/>
    <x:mergeCell ref="B7:D7"/>
    <x:mergeCell ref="B8:D9"/>
    <x:mergeCell ref="E7:G7"/>
    <x:mergeCell ref="E8:G9"/>
    <x:mergeCell ref="H7:J7"/>
    <x:mergeCell ref="H8:J9"/>
    <x:mergeCell ref="K7:M7"/>
    <x:mergeCell ref="K8:M9"/>
    <x:mergeCell ref="B11:M11"/>
    <x:mergeCell ref="B12:C12"/>
    <x:mergeCell ref="B13:C13"/>
    <x:mergeCell ref="B14:C14"/>
    <x:mergeCell ref="B15:C15"/>
    <x:mergeCell ref="B16:C16"/>
    <x:mergeCell ref="B17:C17"/>
    <x:mergeCell ref="D12:E12"/>
    <x:mergeCell ref="D13:E13"/>
    <x:mergeCell ref="D14:E14"/>
    <x:mergeCell ref="D15:E15"/>
    <x:mergeCell ref="D16:E16"/>
    <x:mergeCell ref="D17:E17"/>
    <x:mergeCell ref="F12:G12"/>
    <x:mergeCell ref="F13:G13"/>
    <x:mergeCell ref="F14:G14"/>
    <x:mergeCell ref="F15:G15"/>
    <x:mergeCell ref="F16:G16"/>
    <x:mergeCell ref="F17:G17"/>
    <x:mergeCell ref="H12:I12"/>
    <x:mergeCell ref="H13:I13"/>
    <x:mergeCell ref="H14:I14"/>
    <x:mergeCell ref="H15:I15"/>
    <x:mergeCell ref="H16:I16"/>
    <x:mergeCell ref="H17:I17"/>
    <x:mergeCell ref="J12:K12"/>
    <x:mergeCell ref="J13:K13"/>
    <x:mergeCell ref="J14:K14"/>
    <x:mergeCell ref="J15:K15"/>
    <x:mergeCell ref="J16:K16"/>
    <x:mergeCell ref="J17:K17"/>
    <x:mergeCell ref="L12:M12"/>
    <x:mergeCell ref="L13:M13"/>
    <x:mergeCell ref="L14:M14"/>
    <x:mergeCell ref="L15:M15"/>
    <x:mergeCell ref="L16:M16"/>
    <x:mergeCell ref="L17:M17"/>
    <x:mergeCell ref="B19:M19"/>
    <x:mergeCell ref="B21:M21"/>
    <x:mergeCell ref="B27:M27"/>
    <x:mergeCell ref="B28:M28"/>
    <x:mergeCell ref="B35:M35"/>
    <x:mergeCell ref="B36:M36"/>
    <x:mergeCell ref="B38:C38"/>
    <x:mergeCell ref="B39:C39"/>
    <x:mergeCell ref="B40:C40"/>
    <x:mergeCell ref="B42:M42"/>
  </x:mergeCells>
  <x:conditionalFormatting sqref="D17:E17">
    <x:cfRule type="cellIs" dxfId="6" priority="1" operator="greaterThan">
      <x:formula>0</x:formula>
    </x:cfRule>
  </x:conditionalFormatting>
  <x:conditionalFormatting sqref="F17:G17">
    <x:cfRule type="cellIs" dxfId="7" priority="2" operator="greaterThan">
      <x:formula>0</x:formula>
    </x:cfRule>
  </x:conditionalFormatting>
  <x:conditionalFormatting sqref="H17:I17">
    <x:cfRule type="cellIs" dxfId="8" priority="3" operator="greaterThan">
      <x:formula>0</x:formula>
    </x:cfRule>
  </x:conditionalFormatting>
  <x:conditionalFormatting sqref="J17:K17">
    <x:cfRule type="cellIs" dxfId="9" priority="4" operator="greaterThan">
      <x:formula>0</x:formula>
    </x:cfRule>
  </x:conditionalFormatting>
  <x:conditionalFormatting sqref="L17:M17">
    <x:cfRule type="cellIs" dxfId="10" priority="5" operator="greaterThan">
      <x:formula>0</x:formula>
    </x:cfRule>
  </x:conditionalFormatting>
  <x:conditionalFormatting sqref="I30:I32">
    <x:cfRule type="cellIs" dxfId="11" priority="6" operator="greaterThan">
      <x:formula>0</x:formula>
    </x:cfRule>
  </x:conditionalFormatting>
  <x:dataValidations count="1">
    <x:dataValidation type="whole" operator="greaterThanOrEqual" sqref="C44:G45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95616dce72460c"/>
  </x:tableParts>
</x:worksheet>
</file>