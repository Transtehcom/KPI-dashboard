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f9cc9c759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шборд" sheetId="1" r:id="R5957cc6f83a3417a"/>
    <x:sheet xmlns:r="http://schemas.openxmlformats.org/officeDocument/2006/relationships" name="Краткое ТЗ" sheetId="2" r:id="R695e736f217e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+0.0%;-0.0%;0.0%"/>
    <x:numFmt numFmtId="202" formatCode="yyyy-mm-dd"/>
    <x:numFmt numFmtId="203" formatCode="0.00"/>
  </x:numFmts>
  <x:fonts count="8">
    <x:font>
      <x:sz val="11"/>
      <x:name val="Carlito"/>
    </x:font>
    <x:font>
      <x:sz val="11"/>
      <x:color rgb="FF163B60"/>
      <x:name val="Arial"/>
    </x:font>
    <x:font>
      <x:b/>
      <x:sz val="17"/>
      <x:color rgb="FF163B60"/>
      <x:name val="Arial"/>
    </x:font>
    <x:font>
      <x:sz val="10"/>
      <x:color rgb="FF163B60"/>
      <x:name val="Arial"/>
    </x:font>
    <x:font>
      <x:b/>
      <x:sz val="11"/>
      <x:color rgb="FF163B60"/>
      <x:name val="Arial"/>
    </x:font>
    <x:font>
      <x:sz val="11"/>
      <x:color rgb="FF163B60"/>
      <x:name val="Arial"/>
    </x:font>
    <x:font>
      <x:b/>
      <x:sz val="10"/>
      <x:color rgb="FF163B6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63B60"/>
      </x:patternFill>
    </x:fill>
    <x:fill>
      <x:patternFill patternType="solid">
        <x:fgColor rgb="FFFFF0DE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5" fillId="2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A35B16"/>
      </x:font>
      <x:fill>
        <x:patternFill patternType="solid">
          <x:bgColor rgb="FFFFF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76ad29f8f4cb1" /><Relationship Type="http://schemas.openxmlformats.org/officeDocument/2006/relationships/theme" Target="/xl/theme/theme1.xml" Id="R75896f6563fe4d87" /><Relationship Type="http://schemas.openxmlformats.org/officeDocument/2006/relationships/sharedStrings" Target="/xl/sharedStrings.xml" Id="R572b156ab16442f4" /><Relationship Type="http://schemas.openxmlformats.org/officeDocument/2006/relationships/worksheet" Target="/xl/worksheets/sheet1.xml" Id="R5957cc6f83a3417a" /><Relationship Type="http://schemas.openxmlformats.org/officeDocument/2006/relationships/worksheet" Target="/xl/worksheets/sheet2.xml" Id="R695e736f217e49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306e9e32f143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Цена закупки, ₽/м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Трос 6 мм, ₽/м</c:v>
          </c:tx>
          <c:spPr>
            <a:ln xmlns:a="http://schemas.openxmlformats.org/drawingml/2006/main" w="28575">
              <a:solidFill>
                <a:srgbClr val="159BAA"/>
              </a:solidFill>
              <a:prstDash val="solid"/>
            </a:ln>
          </c:spPr>
          <c:marker>
            <c:symbol val="none"/>
          </c:marker>
          <c:cat>
            <c:strRef>
              <c:f>'Дашборд'!$A$38:$A$40</c:f>
              <c:strCache>
                <c:ptCount val="0"/>
              </c:strCache>
            </c:strRef>
          </c:cat>
          <c:val>
            <c:numRef>
              <c:f>'Дашборд'!$B$38:$B$40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306e9e32f143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12fab3736f4de3" /></Relationships>
</file>

<file path=xl/worksheets/sheet1.xml><?xml version="1.0" encoding="utf-8"?>
<x:worksheet xmlns:x="http://schemas.openxmlformats.org/spreadsheetml/2006/main">
  <x:sheetPr>
    <x:tabColor rgb="FF163B60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4" t="str">
        <x:v>ТРАНСТЕХКОМ  /  ЗАКУПКИ У ПОСТАВЩИКА</x:v>
      </x:c>
      <x:c r="B2" s="4" t="str">
        <x:v>ТРАНСТЕХКОМ  /  ЗАКУПКИ У ПОСТАВЩИКА</x:v>
      </x:c>
      <x:c r="C2" s="4" t="str">
        <x:v>ТРАНСТЕХКОМ  /  ЗАКУПКИ У ПОСТАВЩИКА</x:v>
      </x:c>
      <x:c r="D2" s="4" t="str">
        <x:v>ТРАНСТЕХКОМ  /  ЗАКУПКИ У ПОСТАВЩИКА</x:v>
      </x:c>
      <x:c r="E2" s="4" t="str">
        <x:v>ТРАНСТЕХКОМ  /  ЗАКУПКИ У ПОСТАВЩИКА</x:v>
      </x:c>
      <x:c r="F2" s="4" t="str">
        <x:v>ТРАНСТЕХКОМ  /  ЗАКУПКИ У ПОСТАВЩИКА</x:v>
      </x:c>
      <x:c r="G2" s="4" t="str">
        <x:v>ТРАНСТЕХКОМ  /  ЗАКУПКИ У ПОСТАВЩИКА</x:v>
      </x:c>
      <x:c r="H2" s="4" t="str">
        <x:v>ТРАНСТЕХКОМ  /  ЗАКУПКИ У ПОСТАВЩИКА</x:v>
      </x:c>
      <x:c r="I2" s="4" t="str">
        <x:v>ТРАНСТЕХКОМ  /  ЗАКУПКИ У ПОСТАВЩИКА</x:v>
      </x:c>
      <x:c r="J2" s="4" t="str">
        <x:v>ТРАНСТЕХКОМ  /  ЗАКУПКИ У ПОСТАВЩИКА</x:v>
      </x:c>
      <x:c r="K2" s="4" t="str">
        <x:v>ТРАНСТЕХКОМ  /  ЗАКУПКИ У ПОСТАВЩИКА</x:v>
      </x:c>
      <x:c r="L2" s="4" t="str">
        <x:v>ТРАНСТЕХКОМ  /  ЗАКУПКИ У ПОСТАВЩИКА</x:v>
      </x:c>
    </x:row>
    <x:row r="3" ht="25" customHeight="1">
      <x:c r="A3" s="6" t="str">
        <x:v>ДЕМОНСТРАЦИЯ • условные поставщики и суммы • подключения к 1С и Битриксу нет</x:v>
      </x:c>
      <x:c r="B3" s="6" t="str">
        <x:v>ДЕМОНСТРАЦИЯ • условные поставщики и суммы • подключения к 1С и Битриксу нет</x:v>
      </x:c>
      <x:c r="C3" s="6" t="str">
        <x:v>ДЕМОНСТРАЦИЯ • условные поставщики и суммы • подключения к 1С и Битриксу нет</x:v>
      </x:c>
      <x:c r="D3" s="6" t="str">
        <x:v>ДЕМОНСТРАЦИЯ • условные поставщики и суммы • подключения к 1С и Битриксу нет</x:v>
      </x:c>
      <x:c r="E3" s="6" t="str">
        <x:v>ДЕМОНСТРАЦИЯ • условные поставщики и суммы • подключения к 1С и Битриксу нет</x:v>
      </x:c>
      <x:c r="F3" s="6" t="str">
        <x:v>ДЕМОНСТРАЦИЯ • условные поставщики и суммы • подключения к 1С и Битриксу нет</x:v>
      </x:c>
      <x:c r="G3" s="6" t="str">
        <x:v>ДЕМОНСТРАЦИЯ • условные поставщики и суммы • подключения к 1С и Битриксу нет</x:v>
      </x:c>
      <x:c r="H3" s="6" t="str">
        <x:v>ДЕМОНСТРАЦИЯ • условные поставщики и суммы • подключения к 1С и Битриксу нет</x:v>
      </x:c>
      <x:c r="I3" s="6" t="str">
        <x:v>ДЕМОНСТРАЦИЯ • условные поставщики и суммы • подключения к 1С и Битриксу нет</x:v>
      </x:c>
      <x:c r="J3" s="6" t="str">
        <x:v>ДЕМОНСТРАЦИЯ • условные поставщики и суммы • подключения к 1С и Битриксу нет</x:v>
      </x:c>
      <x:c r="K3" s="6" t="str">
        <x:v>ДЕМОНСТРАЦИЯ • условные поставщики и суммы • подключения к 1С и Битриксу нет</x:v>
      </x:c>
      <x:c r="L3" s="6" t="str">
        <x:v>ДЕМОНСТРАЦИЯ • условные поставщики и суммы • подключения к 1С и Битриксу нет</x:v>
      </x:c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9" t="str">
        <x:v>Поставщик А  |  пример страницы из карточки Битрикса</x:v>
      </x:c>
      <x:c r="B5" s="9" t="str">
        <x:v>Поставщик А  |  пример страницы из карточки Битрикса</x:v>
      </x:c>
      <x:c r="C5" s="9" t="str">
        <x:v>Поставщик А  |  пример страницы из карточки Битрикса</x:v>
      </x:c>
      <x:c r="D5" s="9" t="str">
        <x:v>Поставщик А  |  пример страницы из карточки Битрикса</x:v>
      </x:c>
      <x:c r="E5" s="9" t="str">
        <x:v>Поставщик А  |  пример страницы из карточки Битрикса</x:v>
      </x:c>
      <x:c r="F5" s="9" t="str">
        <x:v>Поставщик А  |  пример страницы из карточки Битрикса</x:v>
      </x:c>
      <x:c r="G5" s="12" t="str">
        <x:v>Период: июль — сентябрь 2026  |  цены без НДС</x:v>
      </x:c>
      <x:c r="H5" s="12" t="str">
        <x:v>Период: июль — сентябрь 2026  |  цены без НДС</x:v>
      </x:c>
      <x:c r="I5" s="12" t="str">
        <x:v>Период: июль — сентябрь 2026  |  цены без НДС</x:v>
      </x:c>
      <x:c r="J5" s="12" t="str">
        <x:v>Период: июль — сентябрь 2026  |  цены без НДС</x:v>
      </x:c>
      <x:c r="K5" s="12" t="str">
        <x:v>Период: июль — сентябрь 2026  |  цены без НДС</x:v>
      </x:c>
      <x:c r="L5" s="12" t="str">
        <x:v>Период: июль — сентябрь 2026  |  цены без НДС</x:v>
      </x:c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12" t="str">
        <x:v>Закуплено за период, ₽</x:v>
      </x:c>
      <x:c r="B7" s="12" t="str">
        <x:v>Закуплено за период, ₽</x:v>
      </x:c>
      <x:c r="C7" s="12" t="str">
        <x:v>Закуплено за период, ₽</x:v>
      </x:c>
      <x:c r="D7" s="12" t="str">
        <x:v>Закуплено за период, ₽</x:v>
      </x:c>
      <x:c r="E7" s="12" t="str">
        <x:v>Позиций в закупках</x:v>
      </x:c>
      <x:c r="F7" s="12" t="str">
        <x:v>Позиций в закупках</x:v>
      </x:c>
      <x:c r="G7" s="12" t="str">
        <x:v>Позиций в закупках</x:v>
      </x:c>
      <x:c r="H7" s="12" t="str">
        <x:v>Позиций в закупках</x:v>
      </x:c>
      <x:c r="I7" s="12" t="str">
        <x:v>Позиций с ростом цены</x:v>
      </x:c>
      <x:c r="J7" s="12" t="str">
        <x:v>Позиций с ростом цены</x:v>
      </x:c>
      <x:c r="K7" s="12" t="str">
        <x:v>Позиций с ростом цены</x:v>
      </x:c>
      <x:c r="L7" s="12" t="str">
        <x:v>Позиций с ростом цены</x:v>
      </x:c>
    </x:row>
    <x:row r="8" ht="25" customHeight="1">
      <x:c r="A8" s="14" t="n">
        <x:f>SUM(J14:J17)</x:f>
        <x:v>3019710</x:v>
      </x:c>
      <x:c r="B8" s="13" t="str"/>
      <x:c r="C8" s="13" t="str"/>
      <x:c r="D8" s="13" t="str"/>
      <x:c r="E8" s="13" t="n">
        <x:f>COUNTA(A14:A17)</x:f>
        <x:v>4</x:v>
      </x:c>
      <x:c r="F8" s="13" t="str"/>
      <x:c r="G8" s="13" t="str"/>
      <x:c r="H8" s="13" t="str"/>
      <x:c r="I8" s="13" t="n">
        <x:f>COUNTIF(K14:K17,"&gt;0")</x:f>
        <x:v>2</x:v>
      </x:c>
      <x:c r="J8" s="13" t="str"/>
      <x:c r="K8" s="13" t="str"/>
      <x:c r="L8" s="13" t="str"/>
    </x:row>
    <x:row r="9" ht="25" customHeight="1">
      <x:c r="A9" s="13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8" t="str">
        <x:v>НОМЕНКЛАТУРА И ЦЕНЫ • одинаковые характеристики и условия сравнения</x:v>
      </x:c>
      <x:c r="B11" s="8" t="str">
        <x:v>НОМЕНКЛАТУРА И ЦЕНЫ • одинаковые характеристики и условия сравнения</x:v>
      </x:c>
      <x:c r="C11" s="8" t="str">
        <x:v>НОМЕНКЛАТУРА И ЦЕНЫ • одинаковые характеристики и условия сравнения</x:v>
      </x:c>
      <x:c r="D11" s="8" t="str">
        <x:v>НОМЕНКЛАТУРА И ЦЕНЫ • одинаковые характеристики и условия сравнения</x:v>
      </x:c>
      <x:c r="E11" s="8" t="str">
        <x:v>НОМЕНКЛАТУРА И ЦЕНЫ • одинаковые характеристики и условия сравнения</x:v>
      </x:c>
      <x:c r="F11" s="8" t="str">
        <x:v>НОМЕНКЛАТУРА И ЦЕНЫ • одинаковые характеристики и условия сравнения</x:v>
      </x:c>
      <x:c r="G11" s="8" t="str">
        <x:v>НОМЕНКЛАТУРА И ЦЕНЫ • одинаковые характеристики и условия сравнения</x:v>
      </x:c>
      <x:c r="H11" s="8" t="str">
        <x:v>НОМЕНКЛАТУРА И ЦЕНЫ • одинаковые характеристики и условия сравнения</x:v>
      </x:c>
      <x:c r="I11" s="8" t="str">
        <x:v>НОМЕНКЛАТУРА И ЦЕНЫ • одинаковые характеристики и условия сравнения</x:v>
      </x:c>
      <x:c r="J11" s="8" t="str">
        <x:v>НОМЕНКЛАТУРА И ЦЕНЫ • одинаковые характеристики и условия сравнения</x:v>
      </x:c>
      <x:c r="K11" s="8" t="str">
        <x:v>НОМЕНКЛАТУРА И ЦЕНЫ • одинаковые характеристики и условия сравнения</x:v>
      </x:c>
      <x:c r="L11" s="8" t="str">
        <x:v>НОМЕНКЛАТУРА И ЦЕНЫ • одинаковые характеристики и условия сравнения</x:v>
      </x:c>
    </x:row>
    <x:row r="12" ht="25" customHeight="1">
      <x:c r="A12" s="18" t="str">
        <x:v>Номенклатура</x:v>
      </x:c>
      <x:c r="B12" s="18" t="str">
        <x:v>Номенклатура</x:v>
      </x:c>
      <x:c r="C12" s="18" t="str">
        <x:v>Номенклатура</x:v>
      </x:c>
      <x:c r="D12" s="18" t="str">
        <x:v>Ед.</x:v>
      </x:c>
      <x:c r="E12" s="18" t="str">
        <x:v>Объём</x:v>
      </x:c>
      <x:c r="F12" s="18" t="str">
        <x:v>Цена июля, ₽</x:v>
      </x:c>
      <x:c r="G12" s="18" t="str">
        <x:v>Цена июля, ₽</x:v>
      </x:c>
      <x:c r="H12" s="18" t="str">
        <x:v>Цена сентября, ₽</x:v>
      </x:c>
      <x:c r="I12" s="18" t="str">
        <x:v>Цена сентября, ₽</x:v>
      </x:c>
      <x:c r="J12" s="18" t="str">
        <x:v>Закупки, ₽</x:v>
      </x:c>
      <x:c r="K12" s="18" t="str">
        <x:v>Изменение</x:v>
      </x:c>
      <x:c r="L12" s="18" t="str">
        <x:v>Закупка</x:v>
      </x:c>
    </x:row>
    <x:row r="13" ht="25" customHeight="1">
      <x:c r="A13" s="18" t="str">
        <x:v>Номенклатура</x:v>
      </x:c>
      <x:c r="B13" s="18" t="str">
        <x:v>Номенклатура</x:v>
      </x:c>
      <x:c r="C13" s="18" t="str">
        <x:v>Номенклатура</x:v>
      </x:c>
      <x:c r="D13" s="18" t="str">
        <x:v>Ед.</x:v>
      </x:c>
      <x:c r="E13" s="18" t="str">
        <x:v>Объём</x:v>
      </x:c>
      <x:c r="F13" s="18" t="str">
        <x:v>Цена июля, ₽</x:v>
      </x:c>
      <x:c r="G13" s="18" t="str">
        <x:v>Цена июля, ₽</x:v>
      </x:c>
      <x:c r="H13" s="18" t="str">
        <x:v>Цена сентября, ₽</x:v>
      </x:c>
      <x:c r="I13" s="18" t="str">
        <x:v>Цена сентября, ₽</x:v>
      </x:c>
      <x:c r="J13" s="18" t="str">
        <x:v>Закупки, ₽</x:v>
      </x:c>
      <x:c r="K13" s="18" t="str">
        <x:v>Изменение</x:v>
      </x:c>
      <x:c r="L13" s="18" t="str">
        <x:v>Закупка</x:v>
      </x:c>
    </x:row>
    <x:row r="14" ht="31" customHeight="1">
      <x:c r="A14" s="12" t="str">
        <x:v>Трос стальной 6 мм</x:v>
      </x:c>
      <x:c r="B14" s="12" t="str">
        <x:v>Трос стальной 6 мм</x:v>
      </x:c>
      <x:c r="C14" s="12" t="str">
        <x:v>Трос стальной 6 мм</x:v>
      </x:c>
      <x:c r="D14" s="19" t="str">
        <x:v>м</x:v>
      </x:c>
      <x:c r="E14" s="19" t="n">
        <x:v>11600</x:v>
      </x:c>
      <x:c r="F14" s="20" t="n">
        <x:v>46.5</x:v>
      </x:c>
      <x:c r="G14" s="20" t="n">
        <x:v>46.5</x:v>
      </x:c>
      <x:c r="H14" s="20" t="n">
        <x:v>49.8</x:v>
      </x:c>
      <x:c r="I14" s="20" t="n">
        <x:v>49.8</x:v>
      </x:c>
      <x:c r="J14" s="21" t="n">
        <x:f>E14*H14</x:f>
        <x:v>577680</x:v>
      </x:c>
      <x:c r="K14" s="24" t="n">
        <x:f>H14/F14-1</x:f>
        <x:v>0.07096774193548372</x:v>
      </x:c>
      <x:c r="L14" s="26" t="n">
        <x:v>46283</x:v>
      </x:c>
    </x:row>
    <x:row r="15" ht="31" customHeight="1">
      <x:c r="A15" s="11" t="str">
        <x:v>Сетка манье 50×50</x:v>
      </x:c>
      <x:c r="B15" s="11" t="str">
        <x:v>Сетка манье 50×50</x:v>
      </x:c>
      <x:c r="C15" s="11" t="str">
        <x:v>Сетка манье 50×50</x:v>
      </x:c>
      <x:c r="D15" s="2" t="str">
        <x:v>м²</x:v>
      </x:c>
      <x:c r="E15" s="2" t="n">
        <x:v>11500</x:v>
      </x:c>
      <x:c r="F15" s="22" t="n">
        <x:v>184</x:v>
      </x:c>
      <x:c r="G15" s="22" t="n">
        <x:v>184</x:v>
      </x:c>
      <x:c r="H15" s="22" t="n">
        <x:v>178.5</x:v>
      </x:c>
      <x:c r="I15" s="22" t="n">
        <x:v>178.5</x:v>
      </x:c>
      <x:c r="J15" s="23" t="n">
        <x:f>E15*H15</x:f>
        <x:v>2052750</x:v>
      </x:c>
      <x:c r="K15" s="25" t="n">
        <x:f>H15/F15-1</x:f>
        <x:v>-0.029891304347826053</x:v>
      </x:c>
      <x:c r="L15" s="27" t="n">
        <x:v>46285</x:v>
      </x:c>
    </x:row>
    <x:row r="16" ht="31" customHeight="1">
      <x:c r="A16" s="12" t="str">
        <x:v>Талреп М20</x:v>
      </x:c>
      <x:c r="B16" s="12" t="str">
        <x:v>Талреп М20</x:v>
      </x:c>
      <x:c r="C16" s="12" t="str">
        <x:v>Талреп М20</x:v>
      </x:c>
      <x:c r="D16" s="19" t="str">
        <x:v>шт</x:v>
      </x:c>
      <x:c r="E16" s="19" t="n">
        <x:v>480</x:v>
      </x:c>
      <x:c r="F16" s="20" t="n">
        <x:v>620</x:v>
      </x:c>
      <x:c r="G16" s="20" t="n">
        <x:v>620</x:v>
      </x:c>
      <x:c r="H16" s="20" t="n">
        <x:v>651</x:v>
      </x:c>
      <x:c r="I16" s="20" t="n">
        <x:v>651</x:v>
      </x:c>
      <x:c r="J16" s="21" t="n">
        <x:f>E16*H16</x:f>
        <x:v>312480</x:v>
      </x:c>
      <x:c r="K16" s="24" t="n">
        <x:f>H16/F16-1</x:f>
        <x:v>0.050000000000000044</x:v>
      </x:c>
      <x:c r="L16" s="26" t="n">
        <x:v>46287</x:v>
      </x:c>
    </x:row>
    <x:row r="17" ht="31" customHeight="1">
      <x:c r="A17" s="11" t="str">
        <x:v>Зажим канатный 6 мм</x:v>
      </x:c>
      <x:c r="B17" s="11" t="str">
        <x:v>Зажим канатный 6 мм</x:v>
      </x:c>
      <x:c r="C17" s="11" t="str">
        <x:v>Зажим канатный 6 мм</x:v>
      </x:c>
      <x:c r="D17" s="2" t="str">
        <x:v>шт</x:v>
      </x:c>
      <x:c r="E17" s="2" t="n">
        <x:v>2400</x:v>
      </x:c>
      <x:c r="F17" s="22" t="n">
        <x:v>32</x:v>
      </x:c>
      <x:c r="G17" s="22" t="n">
        <x:v>32</x:v>
      </x:c>
      <x:c r="H17" s="22" t="n">
        <x:v>32</x:v>
      </x:c>
      <x:c r="I17" s="22" t="n">
        <x:v>32</x:v>
      </x:c>
      <x:c r="J17" s="23" t="n">
        <x:f>E17*H17</x:f>
        <x:v>76800</x:v>
      </x:c>
      <x:c r="K17" s="25" t="n">
        <x:f>H17/F17-1</x:f>
        <x:v>0</x:v>
      </x:c>
      <x:c r="L17" s="27" t="n">
        <x:v>46288</x:v>
      </x:c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8" t="str">
        <x:v>ДИНАМИКА ЦЕНЫ • трос 6 мм, ₽/м</x:v>
      </x:c>
      <x:c r="B19" s="8" t="str">
        <x:v>ДИНАМИКА ЦЕНЫ • трос 6 мм, ₽/м</x:v>
      </x:c>
      <x:c r="C19" s="8" t="str">
        <x:v>ДИНАМИКА ЦЕНЫ • трос 6 мм, ₽/м</x:v>
      </x:c>
      <x:c r="D19" s="8" t="str">
        <x:v>ДИНАМИКА ЦЕНЫ • трос 6 мм, ₽/м</x:v>
      </x:c>
      <x:c r="E19" s="8" t="str">
        <x:v>ДИНАМИКА ЦЕНЫ • трос 6 мм, ₽/м</x:v>
      </x:c>
      <x:c r="F19" s="8" t="str">
        <x:v>ДИНАМИКА ЦЕНЫ • трос 6 мм, ₽/м</x:v>
      </x:c>
      <x:c r="G19" s="2"/>
      <x:c r="H19" s="8" t="str">
        <x:v>АЛЬТЕРНАТИВЫ • трос 6 мм</x:v>
      </x:c>
      <x:c r="I19" s="8" t="str">
        <x:v>АЛЬТЕРНАТИВЫ • трос 6 мм</x:v>
      </x:c>
      <x:c r="J19" s="8" t="str">
        <x:v>АЛЬТЕРНАТИВЫ • трос 6 мм</x:v>
      </x:c>
      <x:c r="K19" s="8" t="str">
        <x:v>АЛЬТЕРНАТИВЫ • трос 6 мм</x:v>
      </x:c>
      <x:c r="L19" s="8" t="str">
        <x:v>АЛЬТЕРНАТИВЫ • трос 6 мм</x:v>
      </x:c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18" t="str">
        <x:v>Поставщик</x:v>
      </x:c>
      <x:c r="I21" s="18" t="str">
        <x:v>Поставщик</x:v>
      </x:c>
      <x:c r="J21" s="18" t="str">
        <x:v>Цена, ₽/м</x:v>
      </x:c>
      <x:c r="K21" s="18" t="str">
        <x:v>Цена, ₽/м</x:v>
      </x:c>
      <x:c r="L21" s="18" t="str">
        <x:v>Дата</x:v>
      </x:c>
    </x:row>
    <x:row r="22" ht="25" customHeight="1">
      <x:c r="A22" s="2"/>
      <x:c r="B22" s="2"/>
      <x:c r="C22" s="2"/>
      <x:c r="D22" s="2"/>
      <x:c r="E22" s="2"/>
      <x:c r="F22" s="2"/>
      <x:c r="G22" s="2"/>
      <x:c r="H22" s="12" t="str">
        <x:v>Поставщик А</x:v>
      </x:c>
      <x:c r="I22" s="12" t="str">
        <x:v>Поставщик А</x:v>
      </x:c>
      <x:c r="J22" s="28" t="n">
        <x:v>49.8</x:v>
      </x:c>
      <x:c r="K22" s="12" t="n">
        <x:v>49.8</x:v>
      </x:c>
      <x:c r="L22" s="27" t="n">
        <x:v>46283</x:v>
      </x:c>
    </x:row>
    <x:row r="23" ht="25" customHeight="1">
      <x:c r="A23" s="2"/>
      <x:c r="B23" s="2"/>
      <x:c r="C23" s="2"/>
      <x:c r="D23" s="2"/>
      <x:c r="E23" s="2"/>
      <x:c r="F23" s="2"/>
      <x:c r="G23" s="2"/>
      <x:c r="H23" s="12" t="str">
        <x:v>Поставщик Б</x:v>
      </x:c>
      <x:c r="I23" s="12" t="str">
        <x:v>Поставщик Б</x:v>
      </x:c>
      <x:c r="J23" s="28" t="n">
        <x:v>47.9</x:v>
      </x:c>
      <x:c r="K23" s="12" t="n">
        <x:v>47.9</x:v>
      </x:c>
      <x:c r="L23" s="27" t="n">
        <x:v>46283</x:v>
      </x:c>
    </x:row>
    <x:row r="24" ht="25" customHeight="1">
      <x:c r="A24" s="2"/>
      <x:c r="B24" s="2"/>
      <x:c r="C24" s="2"/>
      <x:c r="D24" s="2"/>
      <x:c r="E24" s="2"/>
      <x:c r="F24" s="2"/>
      <x:c r="G24" s="2"/>
      <x:c r="H24" s="12" t="str">
        <x:v>Поставщик В</x:v>
      </x:c>
      <x:c r="I24" s="12" t="str">
        <x:v>Поставщик В</x:v>
      </x:c>
      <x:c r="J24" s="28" t="n">
        <x:v>51.2</x:v>
      </x:c>
      <x:c r="K24" s="12" t="n">
        <x:v>51.2</x:v>
      </x:c>
      <x:c r="L24" s="27" t="n">
        <x:v>46283</x:v>
      </x:c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9" t="str">
        <x:v>Исторические цены — повод запросить новое КП. Наличие и текущая цена требуют подтверждения.</x:v>
      </x:c>
      <x:c r="I26" s="29" t="str">
        <x:v>Исторические цены — повод запросить новое КП. Наличие и текущая цена требуют подтверждения.</x:v>
      </x:c>
      <x:c r="J26" s="29" t="str">
        <x:v>Исторические цены — повод запросить новое КП. Наличие и текущая цена требуют подтверждения.</x:v>
      </x:c>
      <x:c r="K26" s="29" t="str">
        <x:v>Исторические цены — повод запросить новое КП. Наличие и текущая цена требуют подтверждения.</x:v>
      </x:c>
      <x:c r="L26" s="29" t="str">
        <x:v>Исторические цены — повод запросить новое КП. Наличие и текущая цена требуют подтверждения.</x:v>
      </x:c>
    </x:row>
    <x:row r="27" ht="25" customHeight="1">
      <x:c r="A27" s="2"/>
      <x:c r="B27" s="2"/>
      <x:c r="C27" s="2"/>
      <x:c r="D27" s="2"/>
      <x:c r="E27" s="2"/>
      <x:c r="F27" s="2"/>
      <x:c r="G27" s="2"/>
      <x:c r="H27" s="29" t="str">
        <x:v>Исторические цены — повод запросить новое КП. Наличие и текущая цена требуют подтверждения.</x:v>
      </x:c>
      <x:c r="I27" s="29" t="str">
        <x:v>Исторические цены — повод запросить новое КП. Наличие и текущая цена требуют подтверждения.</x:v>
      </x:c>
      <x:c r="J27" s="29" t="str">
        <x:v>Исторические цены — повод запросить новое КП. Наличие и текущая цена требуют подтверждения.</x:v>
      </x:c>
      <x:c r="K27" s="29" t="str">
        <x:v>Исторические цены — повод запросить новое КП. Наличие и текущая цена требуют подтверждения.</x:v>
      </x:c>
      <x:c r="L27" s="29" t="str">
        <x:v>Исторические цены — повод запросить новое КП. Наличие и текущая цена требуют подтверждения.</x:v>
      </x:c>
    </x:row>
    <x:row r="28" ht="25" customHeight="1">
      <x:c r="A28" s="2"/>
      <x:c r="B28" s="2"/>
      <x:c r="C28" s="2"/>
      <x:c r="D28" s="2"/>
      <x:c r="E28" s="2"/>
      <x:c r="F28" s="2"/>
      <x:c r="G28" s="2"/>
      <x:c r="H28" s="29" t="str">
        <x:v>Исторические цены — повод запросить новое КП. Наличие и текущая цена требуют подтверждения.</x:v>
      </x:c>
      <x:c r="I28" s="29" t="str">
        <x:v>Исторические цены — повод запросить новое КП. Наличие и текущая цена требуют подтверждения.</x:v>
      </x:c>
      <x:c r="J28" s="29" t="str">
        <x:v>Исторические цены — повод запросить новое КП. Наличие и текущая цена требуют подтверждения.</x:v>
      </x:c>
      <x:c r="K28" s="29" t="str">
        <x:v>Исторические цены — повод запросить новое КП. Наличие и текущая цена требуют подтверждения.</x:v>
      </x:c>
      <x:c r="L28" s="29" t="str">
        <x:v>Исторические цены — повод запросить новое КП. Наличие и текущая цена требуют подтверждения.</x:v>
      </x:c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12" t="str">
        <x:v>ИИ: объясняет отклонения и предлагает действия со ссылками на документы. Расчёты выполняются по заданным формулам.</x:v>
      </x:c>
      <x:c r="I30" s="12" t="str">
        <x:v>ИИ: объясняет отклонения и предлагает действия со ссылками на документы. Расчёты выполняются по заданным формулам.</x:v>
      </x:c>
      <x:c r="J30" s="12" t="str">
        <x:v>ИИ: объясняет отклонения и предлагает действия со ссылками на документы. Расчёты выполняются по заданным формулам.</x:v>
      </x:c>
      <x:c r="K30" s="12" t="str">
        <x:v>ИИ: объясняет отклонения и предлагает действия со ссылками на документы. Расчёты выполняются по заданным формулам.</x:v>
      </x:c>
      <x:c r="L30" s="12" t="str">
        <x:v>ИИ: объясняет отклонения и предлагает действия со ссылками на документы. Расчёты выполняются по заданным формулам.</x:v>
      </x:c>
    </x:row>
    <x:row r="31" ht="25" customHeight="1">
      <x:c r="A31" s="2"/>
      <x:c r="B31" s="2"/>
      <x:c r="C31" s="2"/>
      <x:c r="D31" s="2"/>
      <x:c r="E31" s="2"/>
      <x:c r="F31" s="2"/>
      <x:c r="G31" s="2"/>
      <x:c r="H31" s="12" t="str">
        <x:v>ИИ: объясняет отклонения и предлагает действия со ссылками на документы. Расчёты выполняются по заданным формулам.</x:v>
      </x:c>
      <x:c r="I31" s="12" t="str">
        <x:v>ИИ: объясняет отклонения и предлагает действия со ссылками на документы. Расчёты выполняются по заданным формулам.</x:v>
      </x:c>
      <x:c r="J31" s="12" t="str">
        <x:v>ИИ: объясняет отклонения и предлагает действия со ссылками на документы. Расчёты выполняются по заданным формулам.</x:v>
      </x:c>
      <x:c r="K31" s="12" t="str">
        <x:v>ИИ: объясняет отклонения и предлагает действия со ссылками на документы. Расчёты выполняются по заданным формулам.</x:v>
      </x:c>
      <x:c r="L31" s="12" t="str">
        <x:v>ИИ: объясняет отклонения и предлагает действия со ссылками на документы. Расчёты выполняются по заданным формулам.</x:v>
      </x:c>
    </x:row>
    <x:row r="32" ht="25" customHeight="1">
      <x:c r="A32" s="2"/>
      <x:c r="B32" s="2"/>
      <x:c r="C32" s="2"/>
      <x:c r="D32" s="2"/>
      <x:c r="E32" s="2"/>
      <x:c r="F32" s="2"/>
      <x:c r="G32" s="2"/>
      <x:c r="H32" s="12" t="str">
        <x:v>ИИ: объясняет отклонения и предлагает действия со ссылками на документы. Расчёты выполняются по заданным формулам.</x:v>
      </x:c>
      <x:c r="I32" s="12" t="str">
        <x:v>ИИ: объясняет отклонения и предлагает действия со ссылками на документы. Расчёты выполняются по заданным формулам.</x:v>
      </x:c>
      <x:c r="J32" s="12" t="str">
        <x:v>ИИ: объясняет отклонения и предлагает действия со ссылками на документы. Расчёты выполняются по заданным формулам.</x:v>
      </x:c>
      <x:c r="K32" s="12" t="str">
        <x:v>ИИ: объясняет отклонения и предлагает действия со ссылками на документы. Расчёты выполняются по заданным формулам.</x:v>
      </x:c>
      <x:c r="L32" s="12" t="str">
        <x:v>ИИ: объясняет отклонения и предлагает действия со ссылками на документы. Расчёты выполняются по заданным формулам.</x:v>
      </x:c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16" t="str">
        <x:v>ДАННЫЕ ПРИМЕРА • редактируйте цены и объёмы — формулы и график пересчитываются</x:v>
      </x:c>
      <x:c r="B35" s="16" t="str">
        <x:v>ДАННЫЕ ПРИМЕРА • редактируйте цены и объёмы — формулы и график пересчитываются</x:v>
      </x:c>
      <x:c r="C35" s="16" t="str">
        <x:v>ДАННЫЕ ПРИМЕРА • редактируйте цены и объёмы — формулы и график пересчитываются</x:v>
      </x:c>
      <x:c r="D35" s="16" t="str">
        <x:v>ДАННЫЕ ПРИМЕРА • редактируйте цены и объёмы — формулы и график пересчитываются</x:v>
      </x:c>
      <x:c r="E35" s="16" t="str">
        <x:v>ДАННЫЕ ПРИМЕРА • редактируйте цены и объёмы — формулы и график пересчитываются</x:v>
      </x:c>
      <x:c r="F35" s="16" t="str">
        <x:v>ДАННЫЕ ПРИМЕРА • редактируйте цены и объёмы — формулы и график пересчитываются</x:v>
      </x:c>
      <x:c r="G35" s="16" t="str">
        <x:v>ДАННЫЕ ПРИМЕРА • редактируйте цены и объёмы — формулы и график пересчитываются</x:v>
      </x:c>
      <x:c r="H35" s="16" t="str">
        <x:v>ДАННЫЕ ПРИМЕРА • редактируйте цены и объёмы — формулы и график пересчитываются</x:v>
      </x:c>
      <x:c r="I35" s="16" t="str">
        <x:v>ДАННЫЕ ПРИМЕРА • редактируйте цены и объёмы — формулы и график пересчитываются</x:v>
      </x:c>
      <x:c r="J35" s="16" t="str">
        <x:v>ДАННЫЕ ПРИМЕРА • редактируйте цены и объёмы — формулы и график пересчитываются</x:v>
      </x:c>
      <x:c r="K35" s="16" t="str">
        <x:v>ДАННЫЕ ПРИМЕРА • редактируйте цены и объёмы — формулы и график пересчитываются</x:v>
      </x:c>
      <x:c r="L35" s="16" t="str">
        <x:v>ДАННЫЕ ПРИМЕРА • редактируйте цены и объёмы — формулы и график пересчитываются</x:v>
      </x:c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 t="str">
        <x:v>Месяц</x:v>
      </x:c>
      <x:c r="B37" s="2" t="str">
        <x:v>Трос 6 мм, ₽/м</x:v>
      </x:c>
      <x:c r="C37" s="2"/>
      <x:c r="D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E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F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G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H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I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J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K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L37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</x:row>
    <x:row r="38" ht="25" customHeight="1">
      <x:c r="A38" s="2" t="str">
        <x:v>Июль</x:v>
      </x:c>
      <x:c r="B38" s="30" t="n">
        <x:f>F14</x:f>
        <x:v>46.5</x:v>
      </x:c>
      <x:c r="C38" s="2"/>
      <x:c r="D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E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F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G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H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I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J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K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L38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</x:row>
    <x:row r="39" ht="25" customHeight="1">
      <x:c r="A39" s="2" t="str">
        <x:v>Август</x:v>
      </x:c>
      <x:c r="B39" s="30" t="n">
        <x:v>48.1</x:v>
      </x:c>
      <x:c r="C39" s="2"/>
      <x:c r="D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E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F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G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H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I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J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K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L39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</x:row>
    <x:row r="40" ht="25" customHeight="1">
      <x:c r="A40" s="2" t="str">
        <x:v>Сентябрь</x:v>
      </x:c>
      <x:c r="B40" s="30" t="n">
        <x:f>H14</x:f>
        <x:v>49.8</x:v>
      </x:c>
      <x:c r="C40" s="2"/>
      <x:c r="D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E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F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G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H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I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J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K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  <x:c r="L40" s="12" t="str">
        <x:v>Условие примера: все показанные объёмы закуплены в сентябре; июльские цены — база сравнения. В рабочем дашборде суммы берутся из поступлений с учётом возвратов. Это макет, фильтры и переходы в системы реализуются при внедрении.</x:v>
      </x:c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</x:sheetData>
  <x:mergeCells>
    <x:mergeCell ref="A2:L2"/>
    <x:mergeCell ref="A3:L3"/>
    <x:mergeCell ref="A5:F5"/>
    <x:mergeCell ref="G5:L5"/>
    <x:mergeCell ref="A7:D7"/>
    <x:mergeCell ref="E7:H7"/>
    <x:mergeCell ref="I7:L7"/>
    <x:mergeCell ref="A8:D9"/>
    <x:mergeCell ref="E8:H9"/>
    <x:mergeCell ref="I8:L9"/>
    <x:mergeCell ref="A11:L11"/>
    <x:mergeCell ref="A12:C13"/>
    <x:mergeCell ref="D12:D13"/>
    <x:mergeCell ref="E12:E13"/>
    <x:mergeCell ref="F12:G13"/>
    <x:mergeCell ref="H12:I13"/>
    <x:mergeCell ref="J12:J13"/>
    <x:mergeCell ref="K12:K13"/>
    <x:mergeCell ref="L12:L13"/>
    <x:mergeCell ref="A14:C14"/>
    <x:mergeCell ref="F14:G14"/>
    <x:mergeCell ref="H14:I14"/>
    <x:mergeCell ref="A15:C15"/>
    <x:mergeCell ref="F15:G15"/>
    <x:mergeCell ref="H15:I15"/>
    <x:mergeCell ref="A16:C16"/>
    <x:mergeCell ref="F16:G16"/>
    <x:mergeCell ref="H16:I16"/>
    <x:mergeCell ref="A17:C17"/>
    <x:mergeCell ref="F17:G17"/>
    <x:mergeCell ref="H17:I17"/>
    <x:mergeCell ref="A19:F19"/>
    <x:mergeCell ref="H19:L19"/>
    <x:mergeCell ref="H21:I21"/>
    <x:mergeCell ref="J21:K21"/>
    <x:mergeCell ref="H22:I22"/>
    <x:mergeCell ref="J22:K22"/>
    <x:mergeCell ref="H23:I23"/>
    <x:mergeCell ref="J23:K23"/>
    <x:mergeCell ref="H24:I24"/>
    <x:mergeCell ref="J24:K24"/>
    <x:mergeCell ref="H26:L28"/>
    <x:mergeCell ref="H30:L32"/>
    <x:mergeCell ref="A35:L35"/>
    <x:mergeCell ref="D37:L40"/>
  </x:mergeCells>
  <x:conditionalFormatting sqref="K14:K17">
    <x:cfRule type="cellIs" dxfId="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4012fab3736f4de3"/>
</x:worksheet>
</file>

<file path=xl/worksheets/sheet2.xml><?xml version="1.0" encoding="utf-8"?>
<x:worksheet xmlns:x="http://schemas.openxmlformats.org/spreadsheetml/2006/main">
  <x:sheetPr>
    <x:tabColor rgb="FF163B60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4" t="str">
        <x:v>КРАТКОЕ ТЗ  /  БАЗА ПОСТАВЩИКОВ И ЗАКУПКИ</x:v>
      </x:c>
      <x:c r="B2" s="4" t="str">
        <x:v>КРАТКОЕ ТЗ  /  БАЗА ПОСТАВЩИКОВ И ЗАКУПКИ</x:v>
      </x:c>
      <x:c r="C2" s="4" t="str">
        <x:v>КРАТКОЕ ТЗ  /  БАЗА ПОСТАВЩИКОВ И ЗАКУПКИ</x:v>
      </x:c>
      <x:c r="D2" s="4" t="str">
        <x:v>КРАТКОЕ ТЗ  /  БАЗА ПОСТАВЩИКОВ И ЗАКУПКИ</x:v>
      </x:c>
      <x:c r="E2" s="4" t="str">
        <x:v>КРАТКОЕ ТЗ  /  БАЗА ПОСТАВЩИКОВ И ЗАКУПКИ</x:v>
      </x:c>
      <x:c r="F2" s="4" t="str">
        <x:v>КРАТКОЕ ТЗ  /  БАЗА ПОСТАВЩИКОВ И ЗАКУПКИ</x:v>
      </x:c>
      <x:c r="G2" s="4" t="str">
        <x:v>КРАТКОЕ ТЗ  /  БАЗА ПОСТАВЩИКОВ И ЗАКУПКИ</x:v>
      </x:c>
      <x:c r="H2" s="4" t="str">
        <x:v>КРАТКОЕ ТЗ  /  БАЗА ПОСТАВЩИКОВ И ЗАКУПКИ</x:v>
      </x:c>
      <x:c r="I2" s="4" t="str">
        <x:v>КРАТКОЕ ТЗ  /  БАЗА ПОСТАВЩИКОВ И ЗАКУПКИ</x:v>
      </x:c>
      <x:c r="J2" s="4" t="str">
        <x:v>КРАТКОЕ ТЗ  /  БАЗА ПОСТАВЩИКОВ И ЗАКУПКИ</x:v>
      </x:c>
      <x:c r="K2" s="4" t="str">
        <x:v>КРАТКОЕ ТЗ  /  БАЗА ПОСТАВЩИКОВ И ЗАКУПКИ</x:v>
      </x:c>
      <x:c r="L2" s="4" t="str">
        <x:v>КРАТКОЕ ТЗ  /  БАЗА ПОСТАВЩИКОВ И ЗАКУПКИ</x:v>
      </x:c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B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C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D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E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F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G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H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I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J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K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L4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</x:row>
    <x:row r="5" ht="25" customHeight="1">
      <x:c r="A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B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C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D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E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F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G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H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I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J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K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  <x:c r="L5" s="9" t="str">
        <x:v>Цель: из карточки поставщика в Битриксе открывать его закупки, номенклатуру и цены из 1С; быстро находить альтернативных поставщиков.</x:v>
      </x:c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9" t="str">
        <x:v>1. Источники</x:v>
      </x:c>
      <x:c r="B7" s="9" t="str">
        <x:v>1. Источники</x:v>
      </x:c>
      <x:c r="C7" s="9" t="str">
        <x:v>1. Источники</x:v>
      </x:c>
      <x:c r="D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E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F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G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H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I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J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K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L7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</x:row>
    <x:row r="8" ht="25" customHeight="1">
      <x:c r="A8" s="9" t="str">
        <x:v>1. Источники</x:v>
      </x:c>
      <x:c r="B8" s="9" t="str">
        <x:v>1. Источники</x:v>
      </x:c>
      <x:c r="C8" s="9" t="str">
        <x:v>1. Источники</x:v>
      </x:c>
      <x:c r="D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E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F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G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H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I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J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K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L8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</x:row>
    <x:row r="9" ht="25" customHeight="1">
      <x:c r="A9" s="9" t="str">
        <x:v>1. Источники</x:v>
      </x:c>
      <x:c r="B9" s="9" t="str">
        <x:v>1. Источники</x:v>
      </x:c>
      <x:c r="C9" s="9" t="str">
        <x:v>1. Источники</x:v>
      </x:c>
      <x:c r="D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E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F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G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H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I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J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K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  <x:c r="L9" s="12" t="str">
        <x:v>1С: контрагенты, номенклатура и характеристики, поступления, возвраты, заказы, оплаты. Битрикс: контакты, ответственный, КП, задачи и претензии.</x:v>
      </x:c>
    </x:row>
    <x:row r="10" ht="25" customHeight="1">
      <x:c r="A10" s="31" t="str">
        <x:v>2. База в Битриксе</x:v>
      </x:c>
      <x:c r="B10" s="31" t="str">
        <x:v>2. База в Битриксе</x:v>
      </x:c>
      <x:c r="C10" s="31" t="str">
        <x:v>2. База в Битриксе</x:v>
      </x:c>
      <x:c r="D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E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F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G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H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I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J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K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L10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</x:row>
    <x:row r="11" ht="25" customHeight="1">
      <x:c r="A11" s="31" t="str">
        <x:v>2. База в Битриксе</x:v>
      </x:c>
      <x:c r="B11" s="31" t="str">
        <x:v>2. База в Битриксе</x:v>
      </x:c>
      <x:c r="C11" s="31" t="str">
        <x:v>2. База в Битриксе</x:v>
      </x:c>
      <x:c r="D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E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F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G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H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I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J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K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L11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</x:row>
    <x:row r="12" ht="25" customHeight="1">
      <x:c r="A12" s="31" t="str">
        <x:v>2. База в Битриксе</x:v>
      </x:c>
      <x:c r="B12" s="31" t="str">
        <x:v>2. База в Битриксе</x:v>
      </x:c>
      <x:c r="C12" s="31" t="str">
        <x:v>2. База в Битриксе</x:v>
      </x:c>
      <x:c r="D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E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F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G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H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I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J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K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  <x:c r="L12" s="32" t="str">
        <x:v>Единая карточка компании с ролями «Поставщик» / «Клиент». Создание и обновление поставщиков из 1С без дублей; связь по ID, проверка ИНН/КПП. Контакты и задачи Битрикса не перезаписывать.</x:v>
      </x:c>
    </x:row>
    <x:row r="13" ht="25" customHeight="1">
      <x:c r="A13" s="9" t="str">
        <x:v>3. Переход</x:v>
      </x:c>
      <x:c r="B13" s="9" t="str">
        <x:v>3. Переход</x:v>
      </x:c>
      <x:c r="C13" s="9" t="str">
        <x:v>3. Переход</x:v>
      </x:c>
      <x:c r="D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E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F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G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H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I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J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K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L13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</x:row>
    <x:row r="14" ht="25" customHeight="1">
      <x:c r="A14" s="9" t="str">
        <x:v>3. Переход</x:v>
      </x:c>
      <x:c r="B14" s="9" t="str">
        <x:v>3. Переход</x:v>
      </x:c>
      <x:c r="C14" s="9" t="str">
        <x:v>3. Переход</x:v>
      </x:c>
      <x:c r="D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E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F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G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H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I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J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K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L14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</x:row>
    <x:row r="15" ht="25" customHeight="1">
      <x:c r="A15" s="9" t="str">
        <x:v>3. Переход</x:v>
      </x:c>
      <x:c r="B15" s="9" t="str">
        <x:v>3. Переход</x:v>
      </x:c>
      <x:c r="C15" s="9" t="str">
        <x:v>3. Переход</x:v>
      </x:c>
      <x:c r="D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E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F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G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H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I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J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K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  <x:c r="L15" s="12" t="str">
        <x:v>В карточке кнопка «Закупки и цены»: открывает дашборд с выбранным поставщиком. На дашборде — обратная ссылка в Битрикс и ссылки на документы-основания.</x:v>
      </x:c>
    </x:row>
    <x:row r="16" ht="25" customHeight="1">
      <x:c r="A16" s="31" t="str">
        <x:v>4. Основной экран</x:v>
      </x:c>
      <x:c r="B16" s="31" t="str">
        <x:v>4. Основной экран</x:v>
      </x:c>
      <x:c r="C16" s="31" t="str">
        <x:v>4. Основной экран</x:v>
      </x:c>
      <x:c r="D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E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F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G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H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I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J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K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L16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</x:row>
    <x:row r="17" ht="25" customHeight="1">
      <x:c r="A17" s="31" t="str">
        <x:v>4. Основной экран</x:v>
      </x:c>
      <x:c r="B17" s="31" t="str">
        <x:v>4. Основной экран</x:v>
      </x:c>
      <x:c r="C17" s="31" t="str">
        <x:v>4. Основной экран</x:v>
      </x:c>
      <x:c r="D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E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F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G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H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I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J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K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L17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</x:row>
    <x:row r="18" ht="25" customHeight="1">
      <x:c r="A18" s="31" t="str">
        <x:v>4. Основной экран</x:v>
      </x:c>
      <x:c r="B18" s="31" t="str">
        <x:v>4. Основной экран</x:v>
      </x:c>
      <x:c r="C18" s="31" t="str">
        <x:v>4. Основной экран</x:v>
      </x:c>
      <x:c r="D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E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F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G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H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I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J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K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  <x:c r="L18" s="32" t="str">
        <x:v>Фильтры: поставщик, период, номенклатура, проект при наличии учёта. Сумма закупок; позиции и объёмы; последняя и средневзвешенная цена; история покупок и динамика цен.</x:v>
      </x:c>
    </x:row>
    <x:row r="19" ht="25" customHeight="1">
      <x:c r="A19" s="9" t="str">
        <x:v>5. Полезная аналитика</x:v>
      </x:c>
      <x:c r="B19" s="9" t="str">
        <x:v>5. Полезная аналитика</x:v>
      </x:c>
      <x:c r="C19" s="9" t="str">
        <x:v>5. Полезная аналитика</x:v>
      </x:c>
      <x:c r="D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E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F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G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H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I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J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K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L19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</x:row>
    <x:row r="20" ht="25" customHeight="1">
      <x:c r="A20" s="9" t="str">
        <x:v>5. Полезная аналитика</x:v>
      </x:c>
      <x:c r="B20" s="9" t="str">
        <x:v>5. Полезная аналитика</x:v>
      </x:c>
      <x:c r="C20" s="9" t="str">
        <x:v>5. Полезная аналитика</x:v>
      </x:c>
      <x:c r="D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E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F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G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H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I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J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K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L20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</x:row>
    <x:row r="21" ht="25" customHeight="1">
      <x:c r="A21" s="9" t="str">
        <x:v>5. Полезная аналитика</x:v>
      </x:c>
      <x:c r="B21" s="9" t="str">
        <x:v>5. Полезная аналитика</x:v>
      </x:c>
      <x:c r="C21" s="9" t="str">
        <x:v>5. Полезная аналитика</x:v>
      </x:c>
      <x:c r="D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E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F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G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H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I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J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K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  <x:c r="L21" s="12" t="str">
        <x:v>Сравнение цен одинаковых позиций у разных поставщиков; позиции без альтернатив; просроченные поставки и незакрытые авансы — при наличии плановых дат и связей документов.</x:v>
      </x:c>
    </x:row>
    <x:row r="22" ht="25" customHeight="1">
      <x:c r="A22" s="31" t="str">
        <x:v>6. Правила расчёта</x:v>
      </x:c>
      <x:c r="B22" s="31" t="str">
        <x:v>6. Правила расчёта</x:v>
      </x:c>
      <x:c r="C22" s="31" t="str">
        <x:v>6. Правила расчёта</x:v>
      </x:c>
      <x:c r="D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E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F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G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H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I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J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K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L22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</x:row>
    <x:row r="23" ht="25" customHeight="1">
      <x:c r="A23" s="31" t="str">
        <x:v>6. Правила расчёта</x:v>
      </x:c>
      <x:c r="B23" s="31" t="str">
        <x:v>6. Правила расчёта</x:v>
      </x:c>
      <x:c r="C23" s="31" t="str">
        <x:v>6. Правила расчёта</x:v>
      </x:c>
      <x:c r="D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E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F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G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H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I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J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K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L23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</x:row>
    <x:row r="24" ht="25" customHeight="1">
      <x:c r="A24" s="31" t="str">
        <x:v>6. Правила расчёта</x:v>
      </x:c>
      <x:c r="B24" s="31" t="str">
        <x:v>6. Правила расчёта</x:v>
      </x:c>
      <x:c r="C24" s="31" t="str">
        <x:v>6. Правила расчёта</x:v>
      </x:c>
      <x:c r="D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E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F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G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H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I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J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K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  <x:c r="L24" s="32" t="str">
        <x:v>Закупки = поступления минус возвраты. Средняя цена = стоимость / количество. Сравнивать одинаковые характеристики, единицы, валюту, НДС и условия доставки. Суммы — до копеек.</x:v>
      </x:c>
    </x:row>
    <x:row r="25" ht="25" customHeight="1">
      <x:c r="A25" s="9" t="str">
        <x:v>7. Роль ИИ</x:v>
      </x:c>
      <x:c r="B25" s="9" t="str">
        <x:v>7. Роль ИИ</x:v>
      </x:c>
      <x:c r="C25" s="9" t="str">
        <x:v>7. Роль ИИ</x:v>
      </x:c>
      <x:c r="D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E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F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G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H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I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J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K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L25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</x:row>
    <x:row r="26" ht="25" customHeight="1">
      <x:c r="A26" s="9" t="str">
        <x:v>7. Роль ИИ</x:v>
      </x:c>
      <x:c r="B26" s="9" t="str">
        <x:v>7. Роль ИИ</x:v>
      </x:c>
      <x:c r="C26" s="9" t="str">
        <x:v>7. Роль ИИ</x:v>
      </x:c>
      <x:c r="D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E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F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G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H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I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J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K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L26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</x:row>
    <x:row r="27" ht="25" customHeight="1">
      <x:c r="A27" s="9" t="str">
        <x:v>7. Роль ИИ</x:v>
      </x:c>
      <x:c r="B27" s="9" t="str">
        <x:v>7. Роль ИИ</x:v>
      </x:c>
      <x:c r="C27" s="9" t="str">
        <x:v>7. Роль ИИ</x:v>
      </x:c>
      <x:c r="D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E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F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G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H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I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J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K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  <x:c r="L27" s="12" t="str">
        <x:v>Поиск обычным языком; выявление отклонений; краткие рекомендации с расчётом и ссылкой на источник. ИИ не выдумывает цены и не подтверждает технические аналоги самостоятельно.</x:v>
      </x:c>
    </x:row>
    <x:row r="28" ht="25" customHeight="1">
      <x:c r="A28" s="31" t="str">
        <x:v>8. Актуальность</x:v>
      </x:c>
      <x:c r="B28" s="31" t="str">
        <x:v>8. Актуальность</x:v>
      </x:c>
      <x:c r="C28" s="31" t="str">
        <x:v>8. Актуальность</x:v>
      </x:c>
      <x:c r="D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E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F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G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H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I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J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K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L28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</x:row>
    <x:row r="29" ht="25" customHeight="1">
      <x:c r="A29" s="31" t="str">
        <x:v>8. Актуальность</x:v>
      </x:c>
      <x:c r="B29" s="31" t="str">
        <x:v>8. Актуальность</x:v>
      </x:c>
      <x:c r="C29" s="31" t="str">
        <x:v>8. Актуальность</x:v>
      </x:c>
      <x:c r="D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E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F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G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H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I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J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K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L29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</x:row>
    <x:row r="30" ht="25" customHeight="1">
      <x:c r="A30" s="31" t="str">
        <x:v>8. Актуальность</x:v>
      </x:c>
      <x:c r="B30" s="31" t="str">
        <x:v>8. Актуальность</x:v>
      </x:c>
      <x:c r="C30" s="31" t="str">
        <x:v>8. Актуальность</x:v>
      </x:c>
      <x:c r="D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E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F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G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H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I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J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K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  <x:c r="L30" s="32" t="str">
        <x:v>Предлагаемый режим: обновление каждый час; показывать время последней успешной загрузки и ошибки. История закупок не равна текущему ассортименту: свежие цены брать из датированных КП.</x:v>
      </x:c>
    </x:row>
    <x:row r="31" ht="25" customHeight="1">
      <x:c r="A31" s="9" t="str">
        <x:v>9. Доступ</x:v>
      </x:c>
      <x:c r="B31" s="9" t="str">
        <x:v>9. Доступ</x:v>
      </x:c>
      <x:c r="C31" s="9" t="str">
        <x:v>9. Доступ</x:v>
      </x:c>
      <x:c r="D31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E31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F31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G31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H31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I31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J31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K31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L31" s="12" t="str">
        <x:v>Доступ только авторизованным сотрудникам по ролям. Ссылка на поставщика не должна открывать данные без проверки прав.</x:v>
      </x:c>
    </x:row>
    <x:row r="32" ht="25" customHeight="1">
      <x:c r="A32" s="9" t="str">
        <x:v>9. Доступ</x:v>
      </x:c>
      <x:c r="B32" s="9" t="str">
        <x:v>9. Доступ</x:v>
      </x:c>
      <x:c r="C32" s="9" t="str">
        <x:v>9. Доступ</x:v>
      </x:c>
      <x:c r="D32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E32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F32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G32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H32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I32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J32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K32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L32" s="12" t="str">
        <x:v>Доступ только авторизованным сотрудникам по ролям. Ссылка на поставщика не должна открывать данные без проверки прав.</x:v>
      </x:c>
    </x:row>
    <x:row r="33" ht="25" customHeight="1">
      <x:c r="A33" s="9" t="str">
        <x:v>9. Доступ</x:v>
      </x:c>
      <x:c r="B33" s="9" t="str">
        <x:v>9. Доступ</x:v>
      </x:c>
      <x:c r="C33" s="9" t="str">
        <x:v>9. Доступ</x:v>
      </x:c>
      <x:c r="D33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E33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F33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G33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H33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I33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J33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K33" s="12" t="str">
        <x:v>Доступ только авторизованным сотрудникам по ролям. Ссылка на поставщика не должна открывать данные без проверки прав.</x:v>
      </x:c>
      <x:c r="L33" s="12" t="str">
        <x:v>Доступ только авторизованным сотрудникам по ролям. Ссылка на поставщика не должна открывать данные без проверки прав.</x:v>
      </x:c>
    </x:row>
    <x:row r="34" ht="25" customHeight="1">
      <x:c r="A34" s="31" t="str">
        <x:v>10. Приёмка</x:v>
      </x:c>
      <x:c r="B34" s="31" t="str">
        <x:v>10. Приёмка</x:v>
      </x:c>
      <x:c r="C34" s="31" t="str">
        <x:v>10. Приёмка</x:v>
      </x:c>
      <x:c r="D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E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F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G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H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I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J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K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L34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</x:row>
    <x:row r="35" ht="25" customHeight="1">
      <x:c r="A35" s="31" t="str">
        <x:v>10. Приёмка</x:v>
      </x:c>
      <x:c r="B35" s="31" t="str">
        <x:v>10. Приёмка</x:v>
      </x:c>
      <x:c r="C35" s="31" t="str">
        <x:v>10. Приёмка</x:v>
      </x:c>
      <x:c r="D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E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F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G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H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I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J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K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L35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</x:row>
    <x:row r="36" ht="25" customHeight="1">
      <x:c r="A36" s="31" t="str">
        <x:v>10. Приёмка</x:v>
      </x:c>
      <x:c r="B36" s="31" t="str">
        <x:v>10. Приёмка</x:v>
      </x:c>
      <x:c r="C36" s="31" t="str">
        <x:v>10. Приёмка</x:v>
      </x:c>
      <x:c r="D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E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F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G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H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I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J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K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  <x:c r="L36" s="32" t="str">
        <x:v>Нет дублей; карточка открывает нужного поставщика; итоги за контрольный период совпадают с 1С; фильтры, документы и обновление работают; отсутствие данных не отображается как ноль.</x:v>
      </x:c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B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C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D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E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F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G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H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I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J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K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L39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</x:row>
    <x:row r="40" ht="25" customHeight="1">
      <x:c r="A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B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C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D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E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F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G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H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I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J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K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L40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</x:row>
    <x:row r="41" ht="25" customHeight="1">
      <x:c r="A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B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C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D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E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F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G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H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I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J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K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  <x:c r="L41" s="11" t="str">
        <x:v>Перед разработкой: уточнить конфигурацию 1С, доступные поля и связи документов. Excel — согласуемый макет; автоматический обмен и ИИ в этот файл не подключены. Ответственные за проверку: снабжение, бухгалтерия, ИТ.</x:v>
      </x:c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</x:sheetData>
  <x:mergeCells>
    <x:mergeCell ref="A2:L2"/>
    <x:mergeCell ref="A4:L5"/>
    <x:mergeCell ref="A7:C9"/>
    <x:mergeCell ref="D7:L9"/>
    <x:mergeCell ref="A10:C12"/>
    <x:mergeCell ref="D10:L12"/>
    <x:mergeCell ref="A13:C15"/>
    <x:mergeCell ref="D13:L15"/>
    <x:mergeCell ref="A16:C18"/>
    <x:mergeCell ref="D16:L18"/>
    <x:mergeCell ref="A19:C21"/>
    <x:mergeCell ref="D19:L21"/>
    <x:mergeCell ref="A22:C24"/>
    <x:mergeCell ref="D22:L24"/>
    <x:mergeCell ref="A25:C27"/>
    <x:mergeCell ref="D25:L27"/>
    <x:mergeCell ref="A28:C30"/>
    <x:mergeCell ref="D28:L30"/>
    <x:mergeCell ref="A31:C33"/>
    <x:mergeCell ref="D31:L33"/>
    <x:mergeCell ref="A34:C36"/>
    <x:mergeCell ref="D34:L36"/>
    <x:mergeCell ref="A39:L41"/>
  </x:mergeCells>
  <x:pageMargins left="0.7" right="0.7" top="0.75" bottom="0.75" header="0.3" footer="0.3"/>
</x:worksheet>
</file>