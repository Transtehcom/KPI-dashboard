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1d4f38573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ньги" sheetId="1" r:id="R13bd41dfa6a544a9"/>
    <x:sheet xmlns:r="http://schemas.openxmlformats.org/officeDocument/2006/relationships" name="Краткое ТЗ" sheetId="2" r:id="Rabe7e7018932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&quot;.&quot;mm&quot;.&quot;yyyy"/>
    <x:numFmt numFmtId="201" formatCode="#,##0.0;[Red](#,##0.0);&quot;—&quot;"/>
    <x:numFmt numFmtId="202" formatCode="dd&quot;.&quot;mm"/>
    <x:numFmt numFmtId="203" formatCode="#,##0.00;[Red](#,##0.00);0.00"/>
  </x:numFmts>
  <x:fonts count="9">
    <x:font>
      <x:sz val="11"/>
      <x:name val="Carlito"/>
    </x:font>
    <x:font>
      <x:sz val="11"/>
      <x:color rgb="FF24364B"/>
      <x:name val="Arial"/>
    </x:font>
    <x:font>
      <x:b/>
      <x:sz val="17"/>
      <x:color rgb="FF173B60"/>
      <x:name val="Arial"/>
    </x:font>
    <x:font>
      <x:sz val="10"/>
      <x:color rgb="FF667788"/>
      <x:name val="Arial"/>
    </x:font>
    <x:font>
      <x:sz val="11"/>
      <x:color rgb="FF1559A0"/>
      <x:name val="Arial"/>
    </x:font>
    <x:font>
      <x:b/>
      <x:sz val="17"/>
      <x:color rgb="FF1559A0"/>
      <x:name val="Arial"/>
    </x:font>
    <x:font>
      <x:b/>
      <x:sz val="11"/>
      <x:color rgb="FFFFFFFF"/>
      <x:name val="Arial"/>
    </x:font>
    <x:font>
      <x:b/>
      <x:sz val="11"/>
      <x:color rgb="FF24364B"/>
      <x:name val="Arial"/>
    </x:font>
    <x:font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0F6"/>
      </x:patternFill>
    </x:fill>
    <x:fill>
      <x:patternFill patternType="solid">
        <x:fgColor rgb="FF173B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1" fontId="7" fillId="2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5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A32235"/>
      </x:font>
      <x:fill>
        <x:patternFill>
          <x:bgColor rgb="FFFCE6E9"/>
        </x:patternFill>
      </x:fill>
    </x:dxf>
    <x:dxf>
      <x:font>
        <x:b/>
        <x:color rgb="FFA32235"/>
      </x:font>
      <x:fill>
        <x:patternFill>
          <x:bgColor rgb="FFFCE6E9"/>
        </x:patternFill>
      </x:fill>
    </x:dxf>
    <x:dxf>
      <x:font>
        <x:b/>
        <x:color rgb="FFA32235"/>
      </x:font>
      <x:fill>
        <x:patternFill>
          <x:bgColor rgb="FFFCE6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b5eca26c14afe" /><Relationship Type="http://schemas.openxmlformats.org/officeDocument/2006/relationships/theme" Target="/xl/theme/theme1.xml" Id="Rc58e2cb4ced14f38" /><Relationship Type="http://schemas.openxmlformats.org/officeDocument/2006/relationships/sharedStrings" Target="/xl/sharedStrings.xml" Id="Ra993042f29b84903" /><Relationship Type="http://schemas.openxmlformats.org/officeDocument/2006/relationships/worksheet" Target="/xl/worksheets/sheet1.xml" Id="R13bd41dfa6a544a9" /><Relationship Type="http://schemas.openxmlformats.org/officeDocument/2006/relationships/worksheet" Target="/xl/worksheets/sheet2.xml" Id="Rabe7e701893248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60"/>
  </x:sheetPr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ТРАНСТЕХКОМ · Денежное состояние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 t="str">
        <x:v>Демонстрация для ТЗ. Условные данные. Суммы — рубли с копейками. Источник рабочей панели — 1С.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 t="str">
        <x:v>Дата среза</x:v>
      </x:c>
      <x:c r="B4" s="6" t="n">
        <x:v>46318</x:v>
      </x:c>
      <x:c r="C4" s="2"/>
      <x:c r="D4" s="2"/>
      <x:c r="E4" s="2"/>
      <x:c r="F4" s="2"/>
      <x:c r="G4" s="2"/>
      <x:c r="H4" s="2"/>
      <x:c r="I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9" t="str">
        <x:v>Доступно на начало, ₽</x:v>
      </x:c>
      <x:c r="B6" s="9"/>
      <x:c r="C6" s="2"/>
      <x:c r="D6" s="9" t="str">
        <x:v>Поступления периода, ₽</x:v>
      </x:c>
      <x:c r="E6" s="9"/>
      <x:c r="F6" s="9" t="str">
        <x:v>Выплаты периода, ₽</x:v>
      </x:c>
      <x:c r="G6" s="9"/>
      <x:c r="H6" s="9" t="str">
        <x:v>Минимум остатка, ₽</x:v>
      </x:c>
      <x:c r="I6" s="9"/>
    </x:row>
    <x:row r="7" ht="23" customHeight="1">
      <x:c r="A7" s="24" t="n">
        <x:v>8000000</x:v>
      </x:c>
      <x:c r="B7" s="25"/>
      <x:c r="C7" s="2"/>
      <x:c r="D7" s="25" t="n">
        <x:f>SUM(B12:I12)</x:f>
        <x:v>18000000</x:v>
      </x:c>
      <x:c r="E7" s="25"/>
      <x:c r="F7" s="25" t="n">
        <x:f>SUM(B13:I13)</x:f>
        <x:v>23000000</x:v>
      </x:c>
      <x:c r="G7" s="25"/>
      <x:c r="H7" s="25" t="n">
        <x:f>MIN(B14:I14)</x:f>
        <x:v>-4000000</x:v>
      </x:c>
      <x:c r="I7" s="25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3" customHeight="1">
      <x:c r="A9" s="13" t="str">
        <x:v>ПЛАТЁЖНЫЙ КАЛЕНДАРЬ</x:v>
      </x:c>
      <x:c r="B9" s="13"/>
      <x:c r="C9" s="13"/>
      <x:c r="D9" s="13"/>
      <x:c r="E9" s="13"/>
      <x:c r="F9" s="13"/>
      <x:c r="G9" s="13"/>
      <x:c r="H9" s="13"/>
      <x:c r="I9" s="13"/>
    </x:row>
    <x:row r="10" ht="23" customHeight="1">
      <x:c r="A10" s="9" t="str">
        <x:v>Дата</x:v>
      </x:c>
      <x:c r="B10" s="15" t="n">
        <x:f>$B$4+0</x:f>
        <x:v>46318</x:v>
      </x:c>
      <x:c r="C10" s="15" t="n">
        <x:f>$B$4+1</x:f>
        <x:v>46319</x:v>
      </x:c>
      <x:c r="D10" s="15" t="n">
        <x:f>$B$4+2</x:f>
        <x:v>46320</x:v>
      </x:c>
      <x:c r="E10" s="15" t="n">
        <x:f>$B$4+3</x:f>
        <x:v>46321</x:v>
      </x:c>
      <x:c r="F10" s="15" t="n">
        <x:f>$B$4+4</x:f>
        <x:v>46322</x:v>
      </x:c>
      <x:c r="G10" s="15" t="n">
        <x:f>$B$4+5</x:f>
        <x:v>46323</x:v>
      </x:c>
      <x:c r="H10" s="15" t="n">
        <x:f>$B$4+6</x:f>
        <x:v>46324</x:v>
      </x:c>
      <x:c r="I10" s="15" t="n">
        <x:f>$B$4+7</x:f>
        <x:v>46325</x:v>
      </x:c>
    </x:row>
    <x:row r="11" ht="23" customHeight="1">
      <x:c r="A11" s="2" t="str">
        <x:v>На начало дня</x:v>
      </x:c>
      <x:c r="B11" s="26" t="n">
        <x:f>$A$7</x:f>
        <x:v>8000000</x:v>
      </x:c>
      <x:c r="C11" s="26" t="n">
        <x:f>B14</x:f>
        <x:v>7000000</x:v>
      </x:c>
      <x:c r="D11" s="26" t="n">
        <x:f>C14</x:f>
        <x:v>7000000</x:v>
      </x:c>
      <x:c r="E11" s="26" t="n">
        <x:f>D14</x:f>
        <x:v>7000000</x:v>
      </x:c>
      <x:c r="F11" s="26" t="n">
        <x:f>E14</x:f>
        <x:v>4000000</x:v>
      </x:c>
      <x:c r="G11" s="26" t="n">
        <x:f>F14</x:f>
        <x:v>-4000000</x:v>
      </x:c>
      <x:c r="H11" s="26" t="n">
        <x:f>G14</x:f>
        <x:v>2000000</x:v>
      </x:c>
      <x:c r="I11" s="26" t="n">
        <x:f>H14</x:f>
        <x:v>1000000</x:v>
      </x:c>
    </x:row>
    <x:row r="12" ht="23" customHeight="1">
      <x:c r="A12" s="2" t="str">
        <x:v>Поступления</x:v>
      </x:c>
      <x:c r="B12" s="26" t="n">
        <x:f>SUMIFS($D$20:$D$25,$G$20:$G$25,B$10)</x:f>
        <x:v>2000000</x:v>
      </x:c>
      <x:c r="C12" s="26" t="n">
        <x:f>SUMIFS($D$20:$D$25,$G$20:$G$25,C$10)</x:f>
        <x:v>0</x:v>
      </x:c>
      <x:c r="D12" s="26" t="n">
        <x:f>SUMIFS($D$20:$D$25,$G$20:$G$25,D$10)</x:f>
        <x:v>0</x:v>
      </x:c>
      <x:c r="E12" s="26" t="n">
        <x:f>SUMIFS($D$20:$D$25,$G$20:$G$25,E$10)</x:f>
        <x:v>3000000</x:v>
      </x:c>
      <x:c r="F12" s="26" t="n">
        <x:f>SUMIFS($D$20:$D$25,$G$20:$G$25,F$10)</x:f>
        <x:v>0</x:v>
      </x:c>
      <x:c r="G12" s="26" t="n">
        <x:f>SUMIFS($D$20:$D$25,$G$20:$G$25,G$10)</x:f>
        <x:v>8000000</x:v>
      </x:c>
      <x:c r="H12" s="26" t="n">
        <x:f>SUMIFS($D$20:$D$25,$G$20:$G$25,H$10)</x:f>
        <x:v>0</x:v>
      </x:c>
      <x:c r="I12" s="26" t="n">
        <x:f>SUMIFS($D$20:$D$25,$G$20:$G$25,I$10)</x:f>
        <x:v>5000000</x:v>
      </x:c>
    </x:row>
    <x:row r="13" ht="23" customHeight="1">
      <x:c r="A13" s="2" t="str">
        <x:v>Выплаты</x:v>
      </x:c>
      <x:c r="B13" s="26" t="n">
        <x:f>SUMIFS($D$30:$D$37,$F$30:$F$37,B$10,$G$30:$G$37,"Согласовано")</x:f>
        <x:v>3000000</x:v>
      </x:c>
      <x:c r="C13" s="26" t="n">
        <x:f>SUMIFS($D$30:$D$37,$F$30:$F$37,C$10,$G$30:$G$37,"Согласовано")</x:f>
        <x:v>0</x:v>
      </x:c>
      <x:c r="D13" s="26" t="n">
        <x:f>SUMIFS($D$30:$D$37,$F$30:$F$37,D$10,$G$30:$G$37,"Согласовано")</x:f>
        <x:v>0</x:v>
      </x:c>
      <x:c r="E13" s="26" t="n">
        <x:f>SUMIFS($D$30:$D$37,$F$30:$F$37,E$10,$G$30:$G$37,"Согласовано")</x:f>
        <x:v>6000000</x:v>
      </x:c>
      <x:c r="F13" s="26" t="n">
        <x:f>SUMIFS($D$30:$D$37,$F$30:$F$37,F$10,$G$30:$G$37,"Согласовано")</x:f>
        <x:v>8000000</x:v>
      </x:c>
      <x:c r="G13" s="26" t="n">
        <x:f>SUMIFS($D$30:$D$37,$F$30:$F$37,G$10,$G$30:$G$37,"Согласовано")</x:f>
        <x:v>2000000</x:v>
      </x:c>
      <x:c r="H13" s="26" t="n">
        <x:f>SUMIFS($D$30:$D$37,$F$30:$F$37,H$10,$G$30:$G$37,"Согласовано")</x:f>
        <x:v>1000000</x:v>
      </x:c>
      <x:c r="I13" s="26" t="n">
        <x:f>SUMIFS($D$30:$D$37,$F$30:$F$37,I$10,$G$30:$G$37,"Согласовано")</x:f>
        <x:v>3000000</x:v>
      </x:c>
    </x:row>
    <x:row r="14" ht="23" customHeight="1">
      <x:c r="A14" s="17" t="str">
        <x:v>На конец дня</x:v>
      </x:c>
      <x:c r="B14" s="27" t="n">
        <x:f>B11+B12-B13</x:f>
        <x:v>7000000</x:v>
      </x:c>
      <x:c r="C14" s="27" t="n">
        <x:f>C11+C12-C13</x:f>
        <x:v>7000000</x:v>
      </x:c>
      <x:c r="D14" s="27" t="n">
        <x:f>D11+D12-D13</x:f>
        <x:v>7000000</x:v>
      </x:c>
      <x:c r="E14" s="27" t="n">
        <x:f>E11+E12-E13</x:f>
        <x:v>4000000</x:v>
      </x:c>
      <x:c r="F14" s="27" t="n">
        <x:f>F11+F12-F13</x:f>
        <x:v>-4000000</x:v>
      </x:c>
      <x:c r="G14" s="27" t="n">
        <x:f>G11+G12-G13</x:f>
        <x:v>2000000</x:v>
      </x:c>
      <x:c r="H14" s="27" t="n">
        <x:f>H11+H12-H13</x:f>
        <x:v>1000000</x:v>
      </x:c>
      <x:c r="I14" s="27" t="n">
        <x:f>I11+I12-I13</x:f>
        <x:v>3000000</x:v>
      </x:c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3" customHeight="1">
      <x:c r="A16" s="2" t="str">
        <x:v>Максимальная нехватка денег</x:v>
      </x:c>
      <x:c r="B16" s="2"/>
      <x:c r="C16" s="2"/>
      <x:c r="D16" s="26" t="n">
        <x:f>MAX(0,-H7)</x:f>
        <x:v>4000000</x:v>
      </x:c>
      <x:c r="E16" s="2"/>
      <x:c r="F16" s="2" t="str">
        <x:v>Дата минимума</x:v>
      </x:c>
      <x:c r="G16" s="2"/>
      <x:c r="H16" s="5" t="n">
        <x:f>INDEX(B10:I10,1,MATCH(H7,B14:I14,0))</x:f>
        <x:v>46322</x:v>
      </x:c>
      <x:c r="I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13" t="str">
        <x:v>КТО ДОЛЖЕН И КОГДА ОЖИДАЕМ ПОСТУПЛЕНИЯ</x:v>
      </x:c>
      <x:c r="B18" s="13"/>
      <x:c r="C18" s="13"/>
      <x:c r="D18" s="13"/>
      <x:c r="E18" s="13"/>
      <x:c r="F18" s="13"/>
      <x:c r="G18" s="13"/>
      <x:c r="H18" s="13"/>
      <x:c r="I18" s="13"/>
    </x:row>
    <x:row r="19" ht="34" customHeight="1">
      <x:c r="A19" s="21" t="str">
        <x:v>Клиент</x:v>
      </x:c>
      <x:c r="B19" s="21" t="str">
        <x:v>Основание</x:v>
      </x:c>
      <x:c r="C19" s="21" t="str">
        <x:v>Вид</x:v>
      </x:c>
      <x:c r="D19" s="21" t="str">
        <x:v>К получению</x:v>
      </x:c>
      <x:c r="E19" s="21" t="str">
        <x:v>Долг за отгрузку</x:v>
      </x:c>
      <x:c r="F19" s="21" t="str">
        <x:v>По договору</x:v>
      </x:c>
      <x:c r="G19" s="21" t="str">
        <x:v>Ожидаем</x:v>
      </x:c>
      <x:c r="H19" s="21" t="str">
        <x:v>Просрочка, дней</x:v>
      </x:c>
      <x:c r="I19" s="21" t="str">
        <x:v>Статус даты</x:v>
      </x:c>
    </x:row>
    <x:row r="20" ht="23" customHeight="1">
      <x:c r="A20" s="2" t="str">
        <x:v>Заказчик А</x:v>
      </x:c>
      <x:c r="B20" s="2" t="str">
        <x:v>Спец. 01</x:v>
      </x:c>
      <x:c r="C20" s="2" t="str">
        <x:v>Отгрузка</x:v>
      </x:c>
      <x:c r="D20" s="28" t="n">
        <x:v>6000000</x:v>
      </x:c>
      <x:c r="E20" s="28" t="n">
        <x:v>6000000</x:v>
      </x:c>
      <x:c r="F20" s="6" t="n">
        <x:v>46311</x:v>
      </x:c>
      <x:c r="G20" s="6" t="n">
        <x:v>46323</x:v>
      </x:c>
      <x:c r="H20" s="2" t="n">
        <x:f>IF(AND(E20&gt;0,F20&lt;&gt;""),MAX(0,$B$4-F20),0)</x:f>
        <x:v>7</x:v>
      </x:c>
      <x:c r="I20" s="2" t="str">
        <x:v>Обещание</x:v>
      </x:c>
    </x:row>
    <x:row r="21" ht="23" customHeight="1">
      <x:c r="A21" s="2" t="str">
        <x:v>Заказчик Б</x:v>
      </x:c>
      <x:c r="B21" s="2" t="str">
        <x:v>Спец. 02</x:v>
      </x:c>
      <x:c r="C21" s="2" t="str">
        <x:v>Отгрузка</x:v>
      </x:c>
      <x:c r="D21" s="28" t="n">
        <x:v>3000000</x:v>
      </x:c>
      <x:c r="E21" s="28" t="n">
        <x:v>3000000</x:v>
      </x:c>
      <x:c r="F21" s="6" t="n">
        <x:v>46321</x:v>
      </x:c>
      <x:c r="G21" s="6" t="n">
        <x:v>46321</x:v>
      </x:c>
      <x:c r="H21" s="2" t="n">
        <x:f>IF(AND(E21&gt;0,F21&lt;&gt;""),MAX(0,$B$4-F21),0)</x:f>
        <x:v>0</x:v>
      </x:c>
      <x:c r="I21" s="2" t="str">
        <x:v>По договору</x:v>
      </x:c>
    </x:row>
    <x:row r="22" ht="23" customHeight="1">
      <x:c r="A22" s="2" t="str">
        <x:v>Заказчик В</x:v>
      </x:c>
      <x:c r="B22" s="2" t="str">
        <x:v>Спец. 03</x:v>
      </x:c>
      <x:c r="C22" s="2" t="str">
        <x:v>Отгрузка</x:v>
      </x:c>
      <x:c r="D22" s="28" t="n">
        <x:v>5000000</x:v>
      </x:c>
      <x:c r="E22" s="28" t="n">
        <x:v>5000000</x:v>
      </x:c>
      <x:c r="F22" s="6" t="n">
        <x:v>46325</x:v>
      </x:c>
      <x:c r="G22" s="6" t="n">
        <x:v>46325</x:v>
      </x:c>
      <x:c r="H22" s="2" t="n">
        <x:f>IF(AND(E22&gt;0,F22&lt;&gt;""),MAX(0,$B$4-F22),0)</x:f>
        <x:v>0</x:v>
      </x:c>
      <x:c r="I22" s="2" t="str">
        <x:v>По договору</x:v>
      </x:c>
    </x:row>
    <x:row r="23" ht="23" customHeight="1">
      <x:c r="A23" s="2" t="str">
        <x:v>Заказчик Г</x:v>
      </x:c>
      <x:c r="B23" s="2" t="str">
        <x:v>Спец. 04</x:v>
      </x:c>
      <x:c r="C23" s="2" t="str">
        <x:v>Отгрузка</x:v>
      </x:c>
      <x:c r="D23" s="28" t="n">
        <x:v>12000000</x:v>
      </x:c>
      <x:c r="E23" s="28" t="n">
        <x:v>12000000</x:v>
      </x:c>
      <x:c r="F23" s="6" t="n">
        <x:v>46336</x:v>
      </x:c>
      <x:c r="G23" s="6" t="n">
        <x:v>46336</x:v>
      </x:c>
      <x:c r="H23" s="2" t="n">
        <x:f>IF(AND(E23&gt;0,F23&lt;&gt;""),MAX(0,$B$4-F23),0)</x:f>
        <x:v>0</x:v>
      </x:c>
      <x:c r="I23" s="2" t="str">
        <x:v>По договору</x:v>
      </x:c>
    </x:row>
    <x:row r="24" ht="23" customHeight="1">
      <x:c r="A24" s="2" t="str">
        <x:v>Заказчик Д</x:v>
      </x:c>
      <x:c r="B24" s="2" t="str">
        <x:v>Спец. 05</x:v>
      </x:c>
      <x:c r="C24" s="2" t="str">
        <x:v>Аванс</x:v>
      </x:c>
      <x:c r="D24" s="28" t="n">
        <x:v>2000000</x:v>
      </x:c>
      <x:c r="E24" s="28" t="n">
        <x:v>0</x:v>
      </x:c>
      <x:c r="F24" s="6" t="n">
        <x:v>46318</x:v>
      </x:c>
      <x:c r="G24" s="6" t="n">
        <x:v>46318</x:v>
      </x:c>
      <x:c r="H24" s="2" t="n">
        <x:f>IF(AND(E24&gt;0,F24&lt;&gt;""),MAX(0,$B$4-F24),0)</x:f>
        <x:v>0</x:v>
      </x:c>
      <x:c r="I24" s="2" t="str">
        <x:v>По договору</x:v>
      </x:c>
    </x:row>
    <x:row r="25" ht="23" customHeight="1">
      <x:c r="A25" s="2" t="str">
        <x:v>Заказчик Е</x:v>
      </x:c>
      <x:c r="B25" s="2" t="str">
        <x:v>Спец. 06</x:v>
      </x:c>
      <x:c r="C25" s="2" t="str">
        <x:v>Аванс</x:v>
      </x:c>
      <x:c r="D25" s="28" t="n">
        <x:v>2000000</x:v>
      </x:c>
      <x:c r="E25" s="28" t="n">
        <x:v>0</x:v>
      </x:c>
      <x:c r="F25" s="6" t="n">
        <x:v>46323</x:v>
      </x:c>
      <x:c r="G25" s="6" t="n">
        <x:v>46323</x:v>
      </x:c>
      <x:c r="H25" s="2" t="n">
        <x:f>IF(AND(E25&gt;0,F25&lt;&gt;""),MAX(0,$B$4-F25),0)</x:f>
        <x:v>0</x:v>
      </x:c>
      <x:c r="I25" s="2" t="str">
        <x:v>По договору</x:v>
      </x:c>
    </x:row>
    <x:row r="26" ht="23" customHeight="1">
      <x:c r="A26" s="2" t="str">
        <x:v>Всего долг клиентов</x:v>
      </x:c>
      <x:c r="B26" s="2"/>
      <x:c r="C26" s="2"/>
      <x:c r="D26" s="2"/>
      <x:c r="E26" s="26" t="n">
        <x:f>SUM(E20:E25)</x:f>
        <x:v>26000000</x:v>
      </x:c>
      <x:c r="F26" s="7" t="str">
        <x:v>Просрочено</x:v>
      </x:c>
      <x:c r="G26" s="7"/>
      <x:c r="H26" s="26" t="n">
        <x:f>SUMIFS(E20:E25,H20:H25,"&gt;0")</x:f>
        <x:v>6000000</x:v>
      </x:c>
      <x:c r="I26" s="7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3" customHeight="1">
      <x:c r="A28" s="13" t="str">
        <x:v>ПЛАНОВЫЕ ВЫПЛАТЫ</x:v>
      </x:c>
      <x:c r="B28" s="13"/>
      <x:c r="C28" s="13"/>
      <x:c r="D28" s="13"/>
      <x:c r="E28" s="13"/>
      <x:c r="F28" s="13"/>
      <x:c r="G28" s="13"/>
      <x:c r="H28" s="13"/>
      <x:c r="I28" s="13"/>
    </x:row>
    <x:row r="29" ht="34" customHeight="1">
      <x:c r="A29" s="21" t="str">
        <x:v>Получатель</x:v>
      </x:c>
      <x:c r="B29" s="21" t="str">
        <x:v>Основание</x:v>
      </x:c>
      <x:c r="C29" s="21" t="str">
        <x:v>Назначение</x:v>
      </x:c>
      <x:c r="D29" s="21" t="str">
        <x:v>К оплате</x:v>
      </x:c>
      <x:c r="E29" s="21" t="str">
        <x:v>По договору</x:v>
      </x:c>
      <x:c r="F29" s="21" t="str">
        <x:v>План оплаты</x:v>
      </x:c>
      <x:c r="G29" s="21" t="str">
        <x:v>Согласование</x:v>
      </x:c>
      <x:c r="H29" s="21" t="str">
        <x:v>Приоритет</x:v>
      </x:c>
      <x:c r="I29" s="21" t="str"/>
    </x:row>
    <x:row r="30" ht="23" customHeight="1">
      <x:c r="A30" s="2" t="str">
        <x:v>Завод В</x:v>
      </x:c>
      <x:c r="B30" s="2" t="str">
        <x:v>Спец. 11</x:v>
      </x:c>
      <x:c r="C30" s="2" t="str">
        <x:v>Изготовление</x:v>
      </x:c>
      <x:c r="D30" s="28" t="n">
        <x:v>3000000</x:v>
      </x:c>
      <x:c r="E30" s="6" t="n">
        <x:v>46318</x:v>
      </x:c>
      <x:c r="F30" s="6" t="n">
        <x:v>46318</x:v>
      </x:c>
      <x:c r="G30" s="2" t="str">
        <x:v>Согласовано</x:v>
      </x:c>
      <x:c r="H30" s="2" t="str">
        <x:v>Обязательный</x:v>
      </x:c>
      <x:c r="I30" s="2" t="str"/>
    </x:row>
    <x:row r="31" ht="23" customHeight="1">
      <x:c r="A31" s="2" t="str">
        <x:v>Завод Г</x:v>
      </x:c>
      <x:c r="B31" s="2" t="str">
        <x:v>Спец. 12</x:v>
      </x:c>
      <x:c r="C31" s="2" t="str">
        <x:v>Аванс</x:v>
      </x:c>
      <x:c r="D31" s="28" t="n">
        <x:v>6000000</x:v>
      </x:c>
      <x:c r="E31" s="6" t="n">
        <x:v>46321</x:v>
      </x:c>
      <x:c r="F31" s="6" t="n">
        <x:v>46321</x:v>
      </x:c>
      <x:c r="G31" s="2" t="str">
        <x:v>Согласовано</x:v>
      </x:c>
      <x:c r="H31" s="2" t="str">
        <x:v>Обязательный</x:v>
      </x:c>
      <x:c r="I31" s="2" t="str"/>
    </x:row>
    <x:row r="32" ht="23" customHeight="1">
      <x:c r="A32" s="2" t="str">
        <x:v>Завод А</x:v>
      </x:c>
      <x:c r="B32" s="2" t="str">
        <x:v>Спец. 13</x:v>
      </x:c>
      <x:c r="C32" s="2" t="str">
        <x:v>Аванс</x:v>
      </x:c>
      <x:c r="D32" s="28" t="n">
        <x:v>6000000</x:v>
      </x:c>
      <x:c r="E32" s="6" t="n">
        <x:v>46322</x:v>
      </x:c>
      <x:c r="F32" s="6" t="n">
        <x:v>46322</x:v>
      </x:c>
      <x:c r="G32" s="2" t="str">
        <x:v>Согласовано</x:v>
      </x:c>
      <x:c r="H32" s="2" t="str">
        <x:v>Обязательный</x:v>
      </x:c>
      <x:c r="I32" s="2" t="str"/>
    </x:row>
    <x:row r="33" ht="23" customHeight="1">
      <x:c r="A33" s="2" t="str">
        <x:v>Завод Б</x:v>
      </x:c>
      <x:c r="B33" s="2" t="str">
        <x:v>Спец. 14</x:v>
      </x:c>
      <x:c r="C33" s="2" t="str">
        <x:v>Фин. платёж</x:v>
      </x:c>
      <x:c r="D33" s="28" t="n">
        <x:v>1500000</x:v>
      </x:c>
      <x:c r="E33" s="6" t="n">
        <x:v>46322</x:v>
      </x:c>
      <x:c r="F33" s="6" t="n">
        <x:v>46322</x:v>
      </x:c>
      <x:c r="G33" s="2" t="str">
        <x:v>Согласовано</x:v>
      </x:c>
      <x:c r="H33" s="2" t="str">
        <x:v>Обязательный</x:v>
      </x:c>
      <x:c r="I33" s="2" t="str"/>
    </x:row>
    <x:row r="34" ht="23" customHeight="1">
      <x:c r="A34" s="2" t="str">
        <x:v>Перевозчик А</x:v>
      </x:c>
      <x:c r="B34" s="2" t="str">
        <x:v>Заявка 01</x:v>
      </x:c>
      <x:c r="C34" s="2" t="str">
        <x:v>Доставка</x:v>
      </x:c>
      <x:c r="D34" s="28" t="n">
        <x:v>500000</x:v>
      </x:c>
      <x:c r="E34" s="6" t="n">
        <x:v>46322</x:v>
      </x:c>
      <x:c r="F34" s="6" t="n">
        <x:v>46322</x:v>
      </x:c>
      <x:c r="G34" s="2" t="str">
        <x:v>Согласовано</x:v>
      </x:c>
      <x:c r="H34" s="2" t="str">
        <x:v>Обязательный</x:v>
      </x:c>
      <x:c r="I34" s="2" t="str"/>
    </x:row>
    <x:row r="35" ht="23" customHeight="1">
      <x:c r="A35" s="2" t="str">
        <x:v>Подрядчик</x:v>
      </x:c>
      <x:c r="B35" s="2" t="str">
        <x:v>Этап 01</x:v>
      </x:c>
      <x:c r="C35" s="2" t="str">
        <x:v>Монтаж</x:v>
      </x:c>
      <x:c r="D35" s="28" t="n">
        <x:v>2000000</x:v>
      </x:c>
      <x:c r="E35" s="6" t="n">
        <x:v>46323</x:v>
      </x:c>
      <x:c r="F35" s="6" t="n">
        <x:v>46323</x:v>
      </x:c>
      <x:c r="G35" s="2" t="str">
        <x:v>Согласовано</x:v>
      </x:c>
      <x:c r="H35" s="2" t="str">
        <x:v>Обязательный</x:v>
      </x:c>
      <x:c r="I35" s="2" t="str"/>
    </x:row>
    <x:row r="36" ht="23" customHeight="1">
      <x:c r="A36" s="2" t="str">
        <x:v>Перевозчик Б</x:v>
      </x:c>
      <x:c r="B36" s="2" t="str">
        <x:v>Заявка 02</x:v>
      </x:c>
      <x:c r="C36" s="2" t="str">
        <x:v>Доставка</x:v>
      </x:c>
      <x:c r="D36" s="28" t="n">
        <x:v>1000000</x:v>
      </x:c>
      <x:c r="E36" s="6" t="n">
        <x:v>46324</x:v>
      </x:c>
      <x:c r="F36" s="6" t="n">
        <x:v>46324</x:v>
      </x:c>
      <x:c r="G36" s="2" t="str">
        <x:v>Согласовано</x:v>
      </x:c>
      <x:c r="H36" s="2" t="str">
        <x:v>Обязательный</x:v>
      </x:c>
      <x:c r="I36" s="2" t="str"/>
    </x:row>
    <x:row r="37" ht="23" customHeight="1">
      <x:c r="A37" s="2" t="str">
        <x:v>Текущие расходы</x:v>
      </x:c>
      <x:c r="B37" s="2" t="str">
        <x:v>План</x:v>
      </x:c>
      <x:c r="C37" s="2" t="str">
        <x:v>Сводно</x:v>
      </x:c>
      <x:c r="D37" s="28" t="n">
        <x:v>3000000</x:v>
      </x:c>
      <x:c r="E37" s="6" t="n">
        <x:v>46325</x:v>
      </x:c>
      <x:c r="F37" s="6" t="n">
        <x:v>46325</x:v>
      </x:c>
      <x:c r="G37" s="2" t="str">
        <x:v>Согласовано</x:v>
      </x:c>
      <x:c r="H37" s="2" t="str">
        <x:v>Обязательный</x:v>
      </x:c>
      <x:c r="I37" s="2" t="str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3" customHeight="1">
      <x:c r="A39" s="4" t="str">
        <x:v>Синие суммы и даты можно менять. Итоги пересчитываются. Все денежные значения отображаются с двумя знаками после запятой.</x:v>
      </x:c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4" t="str">
        <x:v>Плановые выплаты — движение денег, не бухгалтерские расходы. Авансы показаны отдельно от долга за отгрузки.</x:v>
      </x:c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</x:row>
  </x:sheetData>
  <x:mergeCells>
    <x:mergeCell ref="A2:I2"/>
    <x:mergeCell ref="A3:I3"/>
    <x:mergeCell ref="A6:B6"/>
    <x:mergeCell ref="A7:B7"/>
    <x:mergeCell ref="D6:E6"/>
    <x:mergeCell ref="D7:E7"/>
    <x:mergeCell ref="F6:G6"/>
    <x:mergeCell ref="F7:G7"/>
    <x:mergeCell ref="H6:I6"/>
    <x:mergeCell ref="H7:I7"/>
    <x:mergeCell ref="A9:I9"/>
    <x:mergeCell ref="A16:C16"/>
    <x:mergeCell ref="F16:G16"/>
    <x:mergeCell ref="H16:I16"/>
    <x:mergeCell ref="A18:I18"/>
    <x:mergeCell ref="A28:I28"/>
    <x:mergeCell ref="A39:I39"/>
    <x:mergeCell ref="A40:I40"/>
  </x:mergeCells>
  <x:conditionalFormatting sqref="B14:I14">
    <x:cfRule type="cellIs" dxfId="0" priority="1" operator="lessThan">
      <x:formula>0</x:formula>
    </x:cfRule>
  </x:conditionalFormatting>
  <x:conditionalFormatting sqref="H7:I7">
    <x:cfRule type="cellIs" dxfId="1" priority="2" operator="lessThan">
      <x:formula>0</x:formula>
    </x:cfRule>
  </x:conditionalFormatting>
  <x:conditionalFormatting sqref="H20:H25">
    <x:cfRule type="cellIs" dxfId="2" priority="3" operator="greaterThan">
      <x:formula>0</x:formula>
    </x:cfRule>
  </x:conditionalFormatting>
  <x:dataValidations count="1">
    <x:dataValidation type="list" sqref="G30:G37">
      <x:formula1>"Согласовано,На согласовании"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B60"/>
  </x:sheetPr>
  <x:sheetViews>
    <x:sheetView showGridLines="0" workbookViewId="0"/>
  </x:sheetViews>
  <x:sheetFormatPr defaultRowHeight="15"/>
  <x:cols>
    <x:col min="1" max="1" width="27" hidden="0" customWidth="1"/>
    <x:col min="2" max="2" width="9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Краткое ТЗ к вкладке «Деньги»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2" t="str">
        <x:v>Блок / правило</x:v>
      </x:c>
      <x:c r="B4" s="22" t="str">
        <x:v>Требование</x:v>
      </x:c>
      <x:c r="C4" s="2"/>
      <x:c r="D4" s="2"/>
      <x:c r="E4" s="2"/>
      <x:c r="F4" s="2"/>
      <x:c r="G4" s="2"/>
      <x:c r="H4" s="2"/>
      <x:c r="I4" s="2"/>
    </x:row>
    <x:row r="5" ht="68" customHeight="1">
      <x:c r="A5" s="23" t="str">
        <x:v>Назначение и источник</x:v>
      </x:c>
      <x:c r="B5" s="23" t="str">
        <x:v>Одна вкладка «Деньги»: остаток, поступления, выплаты и кассовый разрыв. Все сведения — из 1С. Макет использует условные данные.</x:v>
      </x:c>
      <x:c r="C5" s="2"/>
      <x:c r="D5" s="2"/>
      <x:c r="E5" s="2"/>
      <x:c r="F5" s="2"/>
      <x:c r="G5" s="2"/>
      <x:c r="H5" s="2"/>
      <x:c r="I5" s="2"/>
    </x:row>
    <x:row r="6" ht="68" customHeight="1">
      <x:c r="A6" s="23" t="str">
        <x:v>Формат сумм</x:v>
      </x:c>
      <x:c r="B6" s="23" t="str">
        <x:v>Показывать полную сумму в рублях с двумя десятичными знаками, включая нулевые копейки. Например: 1 234 567,89 ₽. Не сокращать до тысяч или миллионов. Итоги считать по исходным суммам с копейками.</x:v>
      </x:c>
      <x:c r="C6" s="2"/>
      <x:c r="D6" s="2"/>
      <x:c r="E6" s="2"/>
      <x:c r="F6" s="2"/>
      <x:c r="G6" s="2"/>
      <x:c r="H6" s="2"/>
      <x:c r="I6" s="2"/>
    </x:row>
    <x:row r="7" ht="68" customHeight="1">
      <x:c r="A7" s="23" t="str">
        <x:v>Доступные деньги</x:v>
      </x:c>
      <x:c r="B7" s="23" t="str">
        <x:v>Из 1С получать остатки по счетам и кассам на дату и время среза. Исключать недоступные средства по согласованному признаку. Не включать невыбранные кредитные лимиты. Показывать момент последнего обновления.</x:v>
      </x:c>
      <x:c r="C7" s="2"/>
      <x:c r="D7" s="2"/>
      <x:c r="E7" s="2"/>
      <x:c r="F7" s="2"/>
      <x:c r="G7" s="2"/>
      <x:c r="H7" s="2"/>
      <x:c r="I7" s="2"/>
    </x:row>
    <x:row r="8" ht="68" customHeight="1">
      <x:c r="A8" s="23" t="str">
        <x:v>Долги и поступления</x:v>
      </x:c>
      <x:c r="B8" s="23" t="str">
        <x:v>Получать контрагента, договор, спецификацию, документ, этап, остаток к получению, долг за отгрузку, договорную и ожидаемую даты. Авансы показывать отдельно. Частичные оплаты уменьшают соответствующий этап.</x:v>
      </x:c>
      <x:c r="C8" s="2"/>
      <x:c r="D8" s="2"/>
      <x:c r="E8" s="2"/>
      <x:c r="F8" s="2"/>
      <x:c r="G8" s="2"/>
      <x:c r="H8" s="2"/>
      <x:c r="I8" s="2"/>
    </x:row>
    <x:row r="9" ht="68" customHeight="1">
      <x:c r="A9" s="23" t="str">
        <x:v>Даты и просрочка</x:v>
      </x:c>
      <x:c r="B9" s="23" t="str">
        <x:v>Договорную дату не менять при переносе ожидаемой. Просрочка по непогашенному долгу за отгрузку = дата среза минус договорная дата, минимум 0 дней. Для ожидаемой даты хранить основание: договор или обещание клиента.</x:v>
      </x:c>
      <x:c r="C9" s="2"/>
      <x:c r="D9" s="2"/>
      <x:c r="E9" s="2"/>
      <x:c r="F9" s="2"/>
      <x:c r="G9" s="2"/>
      <x:c r="H9" s="2"/>
      <x:c r="I9" s="2"/>
    </x:row>
    <x:row r="10" ht="68" customHeight="1">
      <x:c r="A10" s="23" t="str">
        <x:v>Плановые выплаты</x:v>
      </x:c>
      <x:c r="B10" s="23" t="str">
        <x:v>Получать получателя, основание, назначение, остаток к оплате, договорную и плановую даты, согласование и приоритет. Включать заводы, логистику, монтаж, зарплату, налоги, кредиты и текущие выплаты.</x:v>
      </x:c>
      <x:c r="C10" s="2"/>
      <x:c r="D10" s="2"/>
      <x:c r="E10" s="2"/>
      <x:c r="F10" s="2"/>
      <x:c r="G10" s="2"/>
      <x:c r="H10" s="2"/>
      <x:c r="I10" s="2"/>
    </x:row>
    <x:row r="11" ht="68" customHeight="1">
      <x:c r="A11" s="23" t="str">
        <x:v>Календарь и разрыв</x:v>
      </x:c>
      <x:c r="B11" s="23" t="str">
        <x:v>На каждый день: остаток на начало + ожидаемые поступления − согласованные выплаты = остаток на конец. Переносить остаток на следующий день. Красным выделять отрицательные суммы. Показывать максимальную нехватку и дату минимума.</x:v>
      </x:c>
      <x:c r="C11" s="2"/>
      <x:c r="D11" s="2"/>
      <x:c r="E11" s="2"/>
      <x:c r="F11" s="2"/>
      <x:c r="G11" s="2"/>
      <x:c r="H11" s="2"/>
      <x:c r="I11" s="2"/>
    </x:row>
    <x:row r="12" ht="68" customHeight="1">
      <x:c r="A12" s="23" t="str">
        <x:v>Отбор и исключения</x:v>
      </x:c>
      <x:c r="B12" s="23" t="str">
        <x:v>Основной прогноз — только согласованные выплаты с датой. Платежи без даты и несогласованные выводить отдельно с суммами. Обязательства за пределами периода сохранять в детализации. Внутренние переводы между своими счетами исключать из общего потока.</x:v>
      </x:c>
      <x:c r="C12" s="2"/>
      <x:c r="D12" s="2"/>
      <x:c r="E12" s="2"/>
      <x:c r="F12" s="2"/>
      <x:c r="G12" s="2"/>
      <x:c r="H12" s="2"/>
      <x:c r="I12" s="2"/>
    </x:row>
    <x:row r="13" ht="68" customHeight="1">
      <x:c r="A13" s="23" t="str">
        <x:v>Связи и детализация</x:v>
      </x:c>
      <x:c r="B13" s="23" t="str">
        <x:v>Один платёжный этап учитывать один раз: связать заказ, счёт, заявку и фактическую оплату по идентификаторам 1С. По нажатию раскрывать документы. Точные объекты и поля определяет разработчик после проверки конфигурации и версии 1С.</x:v>
      </x:c>
      <x:c r="C13" s="2"/>
      <x:c r="D13" s="2"/>
      <x:c r="E13" s="2"/>
      <x:c r="F13" s="2"/>
      <x:c r="G13" s="2"/>
      <x:c r="H13" s="2"/>
      <x:c r="I13" s="2"/>
    </x:row>
    <x:row r="14" ht="68" customHeight="1">
      <x:c r="A14" s="23" t="str">
        <x:v>Обновление и точность</x:v>
      </x:c>
      <x:c r="B14" s="23" t="str">
        <x:v>Обновлять при открытии и по кнопке. При ошибке не заменять суммы нулями. Показывать статус и время последней успешной загрузки. Сверять остатки и долги с отчётами 1С на ту же дату. Для разных валют показывать отдельные суммы, без скрытого пересчёта.</x:v>
      </x:c>
      <x:c r="C14" s="2"/>
      <x:c r="D14" s="2"/>
      <x:c r="E14" s="2"/>
      <x:c r="F14" s="2"/>
      <x:c r="G14" s="2"/>
      <x:c r="H14" s="2"/>
      <x:c r="I14" s="2"/>
    </x:row>
    <x:row r="15" ht="68" customHeight="1">
      <x:c r="A15" s="23" t="str">
        <x:v>Критерии приёмки</x:v>
      </x:c>
      <x:c r="B15" s="23" t="str">
        <x:v>В демо: поступления 18 000 000,00 ₽; выплаты 23 000 000,00 ₽; остаток 3 000 000,00 ₽; минимум −4 000 000,00 ₽ на 27.10.2026. При добавлении 0,01 ₽ к начальному остатку каждый дневной остаток увеличивается на 0,01 ₽. Изменение даты перемещает платёж в нужный день.</x:v>
      </x:c>
      <x:c r="C15" s="2"/>
      <x:c r="D15" s="2"/>
      <x:c r="E15" s="2"/>
      <x:c r="F15" s="2"/>
      <x:c r="G15" s="2"/>
      <x:c r="H15" s="2"/>
      <x:c r="I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</x:row>
  </x:sheetData>
  <x:pageMargins left="0.7" right="0.7" top="0.75" bottom="0.75" header="0.3" footer="0.3"/>
</x:worksheet>
</file>